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10624F6-03AC-4E78-8771-24155D5138BF}" xr6:coauthVersionLast="47" xr6:coauthVersionMax="47" xr10:uidLastSave="{00000000-0000-0000-0000-000000000000}"/>
  <bookViews>
    <workbookView xWindow="-120" yWindow="-120" windowWidth="20730" windowHeight="11310" activeTab="2" xr2:uid="{65691EB5-7D37-4A31-8110-AC2D44CC7726}"/>
  </bookViews>
  <sheets>
    <sheet name="EMPLOYEES" sheetId="1" r:id="rId1"/>
    <sheet name="LEAVE LOG" sheetId="2" r:id="rId2"/>
    <sheet name="SUMMAR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" i="3" l="1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4" i="3"/>
  <c r="A5" i="3"/>
  <c r="A6" i="3"/>
  <c r="A7" i="3"/>
  <c r="A3" i="3"/>
  <c r="A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2" i="2"/>
  <c r="B3" i="2"/>
  <c r="B4" i="2"/>
  <c r="B5" i="2"/>
  <c r="B6" i="2"/>
  <c r="B7" i="2"/>
  <c r="B8" i="2"/>
  <c r="B9" i="2"/>
  <c r="B10" i="2"/>
  <c r="B11" i="2"/>
  <c r="B12" i="2"/>
  <c r="B13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2" i="2"/>
  <c r="I118" i="3" l="1"/>
  <c r="G4" i="3"/>
  <c r="G134" i="3"/>
  <c r="G126" i="3"/>
  <c r="G118" i="3"/>
  <c r="G106" i="3"/>
  <c r="G98" i="3"/>
  <c r="G94" i="3"/>
  <c r="G82" i="3"/>
  <c r="G74" i="3"/>
  <c r="G66" i="3"/>
  <c r="G50" i="3"/>
  <c r="G34" i="3"/>
  <c r="G18" i="3"/>
  <c r="H95" i="3"/>
  <c r="H79" i="3"/>
  <c r="H63" i="3"/>
  <c r="H47" i="3"/>
  <c r="H31" i="3"/>
  <c r="H133" i="3"/>
  <c r="G5" i="3"/>
  <c r="G138" i="3"/>
  <c r="G130" i="3"/>
  <c r="G122" i="3"/>
  <c r="G114" i="3"/>
  <c r="G110" i="3"/>
  <c r="G102" i="3"/>
  <c r="G90" i="3"/>
  <c r="G86" i="3"/>
  <c r="G78" i="3"/>
  <c r="G70" i="3"/>
  <c r="G58" i="3"/>
  <c r="G42" i="3"/>
  <c r="G26" i="3"/>
  <c r="G10" i="3"/>
  <c r="H103" i="3"/>
  <c r="H87" i="3"/>
  <c r="H71" i="3"/>
  <c r="H55" i="3"/>
  <c r="H39" i="3"/>
  <c r="H23" i="3"/>
  <c r="H15" i="3"/>
  <c r="H7" i="3"/>
  <c r="H117" i="3"/>
  <c r="I138" i="3"/>
  <c r="I122" i="3"/>
  <c r="G3" i="3"/>
  <c r="G137" i="3"/>
  <c r="G133" i="3"/>
  <c r="G129" i="3"/>
  <c r="G125" i="3"/>
  <c r="G121" i="3"/>
  <c r="G117" i="3"/>
  <c r="G113" i="3"/>
  <c r="G109" i="3"/>
  <c r="G105" i="3"/>
  <c r="G101" i="3"/>
  <c r="G97" i="3"/>
  <c r="G93" i="3"/>
  <c r="G89" i="3"/>
  <c r="G85" i="3"/>
  <c r="G81" i="3"/>
  <c r="G77" i="3"/>
  <c r="G73" i="3"/>
  <c r="G69" i="3"/>
  <c r="G65" i="3"/>
  <c r="G57" i="3"/>
  <c r="G49" i="3"/>
  <c r="G41" i="3"/>
  <c r="G33" i="3"/>
  <c r="G25" i="3"/>
  <c r="G17" i="3"/>
  <c r="G9" i="3"/>
  <c r="H102" i="3"/>
  <c r="H94" i="3"/>
  <c r="H86" i="3"/>
  <c r="H78" i="3"/>
  <c r="H70" i="3"/>
  <c r="H62" i="3"/>
  <c r="H54" i="3"/>
  <c r="H46" i="3"/>
  <c r="H38" i="3"/>
  <c r="H30" i="3"/>
  <c r="H22" i="3"/>
  <c r="H14" i="3"/>
  <c r="H6" i="3"/>
  <c r="H129" i="3"/>
  <c r="H113" i="3"/>
  <c r="I134" i="3"/>
  <c r="I3" i="3"/>
  <c r="I7" i="3"/>
  <c r="I11" i="3"/>
  <c r="I15" i="3"/>
  <c r="I19" i="3"/>
  <c r="I23" i="3"/>
  <c r="I27" i="3"/>
  <c r="I31" i="3"/>
  <c r="I35" i="3"/>
  <c r="I39" i="3"/>
  <c r="I43" i="3"/>
  <c r="I47" i="3"/>
  <c r="I51" i="3"/>
  <c r="I55" i="3"/>
  <c r="I59" i="3"/>
  <c r="I63" i="3"/>
  <c r="I67" i="3"/>
  <c r="I71" i="3"/>
  <c r="I75" i="3"/>
  <c r="I79" i="3"/>
  <c r="I83" i="3"/>
  <c r="I87" i="3"/>
  <c r="I91" i="3"/>
  <c r="I95" i="3"/>
  <c r="I99" i="3"/>
  <c r="I103" i="3"/>
  <c r="I107" i="3"/>
  <c r="I111" i="3"/>
  <c r="I115" i="3"/>
  <c r="I119" i="3"/>
  <c r="I123" i="3"/>
  <c r="I127" i="3"/>
  <c r="I131" i="3"/>
  <c r="I135" i="3"/>
  <c r="I139" i="3"/>
  <c r="H106" i="3"/>
  <c r="H110" i="3"/>
  <c r="H114" i="3"/>
  <c r="H118" i="3"/>
  <c r="H122" i="3"/>
  <c r="H126" i="3"/>
  <c r="H130" i="3"/>
  <c r="H134" i="3"/>
  <c r="H138" i="3"/>
  <c r="H4" i="3"/>
  <c r="H8" i="3"/>
  <c r="H12" i="3"/>
  <c r="H16" i="3"/>
  <c r="H20" i="3"/>
  <c r="H24" i="3"/>
  <c r="H28" i="3"/>
  <c r="H32" i="3"/>
  <c r="H36" i="3"/>
  <c r="H40" i="3"/>
  <c r="H44" i="3"/>
  <c r="H48" i="3"/>
  <c r="H52" i="3"/>
  <c r="H56" i="3"/>
  <c r="H60" i="3"/>
  <c r="H64" i="3"/>
  <c r="H68" i="3"/>
  <c r="H72" i="3"/>
  <c r="H76" i="3"/>
  <c r="H80" i="3"/>
  <c r="H84" i="3"/>
  <c r="H88" i="3"/>
  <c r="H92" i="3"/>
  <c r="H96" i="3"/>
  <c r="H100" i="3"/>
  <c r="H104" i="3"/>
  <c r="G7" i="3"/>
  <c r="G11" i="3"/>
  <c r="G15" i="3"/>
  <c r="G19" i="3"/>
  <c r="G23" i="3"/>
  <c r="G27" i="3"/>
  <c r="G31" i="3"/>
  <c r="G35" i="3"/>
  <c r="G39" i="3"/>
  <c r="G43" i="3"/>
  <c r="G47" i="3"/>
  <c r="G51" i="3"/>
  <c r="G55" i="3"/>
  <c r="G59" i="3"/>
  <c r="G63" i="3"/>
  <c r="I4" i="3"/>
  <c r="I8" i="3"/>
  <c r="I12" i="3"/>
  <c r="I16" i="3"/>
  <c r="I20" i="3"/>
  <c r="I24" i="3"/>
  <c r="I28" i="3"/>
  <c r="I32" i="3"/>
  <c r="I36" i="3"/>
  <c r="I40" i="3"/>
  <c r="I44" i="3"/>
  <c r="I48" i="3"/>
  <c r="I52" i="3"/>
  <c r="I56" i="3"/>
  <c r="I60" i="3"/>
  <c r="I64" i="3"/>
  <c r="I68" i="3"/>
  <c r="I72" i="3"/>
  <c r="I76" i="3"/>
  <c r="I80" i="3"/>
  <c r="I84" i="3"/>
  <c r="I88" i="3"/>
  <c r="I92" i="3"/>
  <c r="I96" i="3"/>
  <c r="I100" i="3"/>
  <c r="I104" i="3"/>
  <c r="I108" i="3"/>
  <c r="I112" i="3"/>
  <c r="I116" i="3"/>
  <c r="I120" i="3"/>
  <c r="I124" i="3"/>
  <c r="I128" i="3"/>
  <c r="I132" i="3"/>
  <c r="I136" i="3"/>
  <c r="I140" i="3"/>
  <c r="H107" i="3"/>
  <c r="H111" i="3"/>
  <c r="H115" i="3"/>
  <c r="H119" i="3"/>
  <c r="H123" i="3"/>
  <c r="H127" i="3"/>
  <c r="H131" i="3"/>
  <c r="H135" i="3"/>
  <c r="H139" i="3"/>
  <c r="H5" i="3"/>
  <c r="H9" i="3"/>
  <c r="H13" i="3"/>
  <c r="H17" i="3"/>
  <c r="H21" i="3"/>
  <c r="H25" i="3"/>
  <c r="H29" i="3"/>
  <c r="H33" i="3"/>
  <c r="H37" i="3"/>
  <c r="H41" i="3"/>
  <c r="H45" i="3"/>
  <c r="H49" i="3"/>
  <c r="H53" i="3"/>
  <c r="H57" i="3"/>
  <c r="H61" i="3"/>
  <c r="H65" i="3"/>
  <c r="H69" i="3"/>
  <c r="H73" i="3"/>
  <c r="H77" i="3"/>
  <c r="H81" i="3"/>
  <c r="H85" i="3"/>
  <c r="H89" i="3"/>
  <c r="H93" i="3"/>
  <c r="H97" i="3"/>
  <c r="H101" i="3"/>
  <c r="H105" i="3"/>
  <c r="G8" i="3"/>
  <c r="G12" i="3"/>
  <c r="G16" i="3"/>
  <c r="G20" i="3"/>
  <c r="G24" i="3"/>
  <c r="G28" i="3"/>
  <c r="G32" i="3"/>
  <c r="G36" i="3"/>
  <c r="G40" i="3"/>
  <c r="G44" i="3"/>
  <c r="G48" i="3"/>
  <c r="G52" i="3"/>
  <c r="G56" i="3"/>
  <c r="G60" i="3"/>
  <c r="G64" i="3"/>
  <c r="I5" i="3"/>
  <c r="I9" i="3"/>
  <c r="I13" i="3"/>
  <c r="I17" i="3"/>
  <c r="I21" i="3"/>
  <c r="I25" i="3"/>
  <c r="I29" i="3"/>
  <c r="I33" i="3"/>
  <c r="I37" i="3"/>
  <c r="I41" i="3"/>
  <c r="I45" i="3"/>
  <c r="I49" i="3"/>
  <c r="I53" i="3"/>
  <c r="I57" i="3"/>
  <c r="I61" i="3"/>
  <c r="I65" i="3"/>
  <c r="I69" i="3"/>
  <c r="I73" i="3"/>
  <c r="I77" i="3"/>
  <c r="I81" i="3"/>
  <c r="I85" i="3"/>
  <c r="I89" i="3"/>
  <c r="I93" i="3"/>
  <c r="I97" i="3"/>
  <c r="I101" i="3"/>
  <c r="I105" i="3"/>
  <c r="I109" i="3"/>
  <c r="I113" i="3"/>
  <c r="I117" i="3"/>
  <c r="I121" i="3"/>
  <c r="I125" i="3"/>
  <c r="I129" i="3"/>
  <c r="I133" i="3"/>
  <c r="I137" i="3"/>
  <c r="I141" i="3"/>
  <c r="H108" i="3"/>
  <c r="H112" i="3"/>
  <c r="H116" i="3"/>
  <c r="H120" i="3"/>
  <c r="H124" i="3"/>
  <c r="H128" i="3"/>
  <c r="H132" i="3"/>
  <c r="H136" i="3"/>
  <c r="H140" i="3"/>
  <c r="I6" i="3"/>
  <c r="I10" i="3"/>
  <c r="I14" i="3"/>
  <c r="I18" i="3"/>
  <c r="I22" i="3"/>
  <c r="I26" i="3"/>
  <c r="I30" i="3"/>
  <c r="I34" i="3"/>
  <c r="I38" i="3"/>
  <c r="I42" i="3"/>
  <c r="I46" i="3"/>
  <c r="I50" i="3"/>
  <c r="I54" i="3"/>
  <c r="I58" i="3"/>
  <c r="I62" i="3"/>
  <c r="I66" i="3"/>
  <c r="I70" i="3"/>
  <c r="I74" i="3"/>
  <c r="I78" i="3"/>
  <c r="I82" i="3"/>
  <c r="I86" i="3"/>
  <c r="I90" i="3"/>
  <c r="I94" i="3"/>
  <c r="I98" i="3"/>
  <c r="I102" i="3"/>
  <c r="I106" i="3"/>
  <c r="G2" i="3"/>
  <c r="G140" i="3"/>
  <c r="G136" i="3"/>
  <c r="G132" i="3"/>
  <c r="G128" i="3"/>
  <c r="G124" i="3"/>
  <c r="G120" i="3"/>
  <c r="G116" i="3"/>
  <c r="G112" i="3"/>
  <c r="G108" i="3"/>
  <c r="G104" i="3"/>
  <c r="G100" i="3"/>
  <c r="G96" i="3"/>
  <c r="G92" i="3"/>
  <c r="G88" i="3"/>
  <c r="G84" i="3"/>
  <c r="G80" i="3"/>
  <c r="G76" i="3"/>
  <c r="G72" i="3"/>
  <c r="G68" i="3"/>
  <c r="G62" i="3"/>
  <c r="G54" i="3"/>
  <c r="G46" i="3"/>
  <c r="G38" i="3"/>
  <c r="G30" i="3"/>
  <c r="G22" i="3"/>
  <c r="G14" i="3"/>
  <c r="G6" i="3"/>
  <c r="H99" i="3"/>
  <c r="H91" i="3"/>
  <c r="H83" i="3"/>
  <c r="H75" i="3"/>
  <c r="H67" i="3"/>
  <c r="H59" i="3"/>
  <c r="H51" i="3"/>
  <c r="H43" i="3"/>
  <c r="H35" i="3"/>
  <c r="H27" i="3"/>
  <c r="H19" i="3"/>
  <c r="H11" i="3"/>
  <c r="H3" i="3"/>
  <c r="H125" i="3"/>
  <c r="H109" i="3"/>
  <c r="I130" i="3"/>
  <c r="I114" i="3"/>
  <c r="G139" i="3"/>
  <c r="G135" i="3"/>
  <c r="G131" i="3"/>
  <c r="G127" i="3"/>
  <c r="G123" i="3"/>
  <c r="G119" i="3"/>
  <c r="G115" i="3"/>
  <c r="G111" i="3"/>
  <c r="G107" i="3"/>
  <c r="G103" i="3"/>
  <c r="G99" i="3"/>
  <c r="G95" i="3"/>
  <c r="G91" i="3"/>
  <c r="G87" i="3"/>
  <c r="G83" i="3"/>
  <c r="G79" i="3"/>
  <c r="G75" i="3"/>
  <c r="G71" i="3"/>
  <c r="G67" i="3"/>
  <c r="G61" i="3"/>
  <c r="G53" i="3"/>
  <c r="G45" i="3"/>
  <c r="G37" i="3"/>
  <c r="G29" i="3"/>
  <c r="G21" i="3"/>
  <c r="G13" i="3"/>
  <c r="H2" i="3"/>
  <c r="H98" i="3"/>
  <c r="H90" i="3"/>
  <c r="H82" i="3"/>
  <c r="H74" i="3"/>
  <c r="H66" i="3"/>
  <c r="H58" i="3"/>
  <c r="H50" i="3"/>
  <c r="H42" i="3"/>
  <c r="H34" i="3"/>
  <c r="H26" i="3"/>
  <c r="H18" i="3"/>
  <c r="H10" i="3"/>
  <c r="H137" i="3"/>
  <c r="H121" i="3"/>
  <c r="I2" i="3"/>
  <c r="I126" i="3"/>
  <c r="I110" i="3"/>
  <c r="B18" i="3"/>
  <c r="C18" i="3" s="1"/>
  <c r="F13" i="3"/>
  <c r="F61" i="3"/>
  <c r="F109" i="3"/>
  <c r="F18" i="3"/>
  <c r="F66" i="3"/>
  <c r="F114" i="3"/>
  <c r="F23" i="3"/>
  <c r="F40" i="3"/>
  <c r="D21" i="3"/>
  <c r="E21" i="3" s="1"/>
  <c r="B7" i="3"/>
  <c r="C7" i="3" s="1"/>
  <c r="D64" i="3"/>
  <c r="D104" i="3"/>
  <c r="B103" i="3"/>
  <c r="C103" i="3" s="1"/>
  <c r="B16" i="3"/>
  <c r="D8" i="3"/>
  <c r="D24" i="3"/>
  <c r="E24" i="3" s="1"/>
  <c r="D19" i="3"/>
  <c r="E19" i="3" s="1"/>
  <c r="D37" i="3"/>
  <c r="D53" i="3"/>
  <c r="D69" i="3"/>
  <c r="E69" i="3" s="1"/>
  <c r="D85" i="3"/>
  <c r="E85" i="3" s="1"/>
  <c r="D101" i="3"/>
  <c r="B20" i="3"/>
  <c r="D50" i="3"/>
  <c r="D111" i="3"/>
  <c r="E111" i="3" s="1"/>
  <c r="D138" i="3"/>
  <c r="B25" i="3"/>
  <c r="B48" i="3"/>
  <c r="B69" i="3"/>
  <c r="C69" i="3" s="1"/>
  <c r="B90" i="3"/>
  <c r="C90" i="3" s="1"/>
  <c r="B112" i="3"/>
  <c r="B133" i="3"/>
  <c r="D74" i="3"/>
  <c r="D52" i="3"/>
  <c r="E52" i="3" s="1"/>
  <c r="D31" i="3"/>
  <c r="D4" i="3"/>
  <c r="E4" i="3" s="1"/>
  <c r="B131" i="3"/>
  <c r="C131" i="3" s="1"/>
  <c r="B115" i="3"/>
  <c r="B99" i="3"/>
  <c r="B83" i="3"/>
  <c r="C83" i="3" s="1"/>
  <c r="B67" i="3"/>
  <c r="B51" i="3"/>
  <c r="B35" i="3"/>
  <c r="B15" i="3"/>
  <c r="C15" i="3" s="1"/>
  <c r="D136" i="3"/>
  <c r="E136" i="3" s="1"/>
  <c r="D120" i="3"/>
  <c r="D99" i="3"/>
  <c r="D78" i="3"/>
  <c r="E78" i="3" s="1"/>
  <c r="D56" i="3"/>
  <c r="E56" i="3" s="1"/>
  <c r="D35" i="3"/>
  <c r="E35" i="3" s="1"/>
  <c r="D7" i="3"/>
  <c r="D122" i="3"/>
  <c r="E122" i="3" s="1"/>
  <c r="D102" i="3"/>
  <c r="E102" i="3" s="1"/>
  <c r="D80" i="3"/>
  <c r="D59" i="3"/>
  <c r="D38" i="3"/>
  <c r="E38" i="3" s="1"/>
  <c r="D10" i="3"/>
  <c r="E10" i="3" s="1"/>
  <c r="D55" i="3"/>
  <c r="E55" i="3" s="1"/>
  <c r="D114" i="3"/>
  <c r="D139" i="3"/>
  <c r="E139" i="3" s="1"/>
  <c r="B27" i="3"/>
  <c r="C27" i="3" s="1"/>
  <c r="B49" i="3"/>
  <c r="C49" i="3" s="1"/>
  <c r="B70" i="3"/>
  <c r="B92" i="3"/>
  <c r="C92" i="3" s="1"/>
  <c r="B113" i="3"/>
  <c r="C113" i="3" s="1"/>
  <c r="B134" i="3"/>
  <c r="C134" i="3" s="1"/>
  <c r="B73" i="3"/>
  <c r="D13" i="3"/>
  <c r="E13" i="3" s="1"/>
  <c r="D95" i="3"/>
  <c r="D130" i="3"/>
  <c r="E130" i="3" s="1"/>
  <c r="B14" i="3"/>
  <c r="B40" i="3"/>
  <c r="B61" i="3"/>
  <c r="C61" i="3" s="1"/>
  <c r="B82" i="3"/>
  <c r="C82" i="3" s="1"/>
  <c r="B104" i="3"/>
  <c r="B125" i="3"/>
  <c r="C125" i="3" s="1"/>
  <c r="B46" i="3"/>
  <c r="C46" i="3" s="1"/>
  <c r="B110" i="3"/>
  <c r="C110" i="3" s="1"/>
  <c r="D44" i="3"/>
  <c r="D108" i="3"/>
  <c r="E108" i="3" s="1"/>
  <c r="D137" i="3"/>
  <c r="E137" i="3" s="1"/>
  <c r="B23" i="3"/>
  <c r="C23" i="3" s="1"/>
  <c r="B68" i="3"/>
  <c r="B137" i="3"/>
  <c r="F132" i="3"/>
  <c r="F116" i="3"/>
  <c r="F100" i="3"/>
  <c r="F84" i="3"/>
  <c r="F68" i="3"/>
  <c r="F52" i="3"/>
  <c r="F36" i="3"/>
  <c r="F20" i="3"/>
  <c r="F4" i="3"/>
  <c r="F127" i="3"/>
  <c r="F111" i="3"/>
  <c r="F95" i="3"/>
  <c r="F79" i="3"/>
  <c r="F63" i="3"/>
  <c r="F47" i="3"/>
  <c r="D12" i="3"/>
  <c r="E12" i="3" s="1"/>
  <c r="D28" i="3"/>
  <c r="E28" i="3" s="1"/>
  <c r="D23" i="3"/>
  <c r="E23" i="3" s="1"/>
  <c r="D41" i="3"/>
  <c r="D57" i="3"/>
  <c r="E57" i="3" s="1"/>
  <c r="D73" i="3"/>
  <c r="E73" i="3" s="1"/>
  <c r="D89" i="3"/>
  <c r="E89" i="3" s="1"/>
  <c r="B8" i="3"/>
  <c r="B24" i="3"/>
  <c r="D71" i="3"/>
  <c r="E71" i="3" s="1"/>
  <c r="D121" i="3"/>
  <c r="E121" i="3" s="1"/>
  <c r="B4" i="3"/>
  <c r="B32" i="3"/>
  <c r="C32" i="3" s="1"/>
  <c r="B53" i="3"/>
  <c r="C53" i="3" s="1"/>
  <c r="B74" i="3"/>
  <c r="C74" i="3" s="1"/>
  <c r="B96" i="3"/>
  <c r="B117" i="3"/>
  <c r="C117" i="3" s="1"/>
  <c r="B138" i="3"/>
  <c r="C138" i="3" s="1"/>
  <c r="D68" i="3"/>
  <c r="E68" i="3" s="1"/>
  <c r="D47" i="3"/>
  <c r="D25" i="3"/>
  <c r="E25" i="3" s="1"/>
  <c r="D105" i="3"/>
  <c r="E105" i="3" s="1"/>
  <c r="B127" i="3"/>
  <c r="C127" i="3" s="1"/>
  <c r="B111" i="3"/>
  <c r="B95" i="3"/>
  <c r="C95" i="3" s="1"/>
  <c r="B79" i="3"/>
  <c r="C79" i="3" s="1"/>
  <c r="B63" i="3"/>
  <c r="C63" i="3" s="1"/>
  <c r="B47" i="3"/>
  <c r="B31" i="3"/>
  <c r="C31" i="3" s="1"/>
  <c r="B10" i="3"/>
  <c r="C10" i="3" s="1"/>
  <c r="D132" i="3"/>
  <c r="E132" i="3" s="1"/>
  <c r="D115" i="3"/>
  <c r="D94" i="3"/>
  <c r="E94" i="3" s="1"/>
  <c r="D72" i="3"/>
  <c r="E72" i="3" s="1"/>
  <c r="D51" i="3"/>
  <c r="E51" i="3" s="1"/>
  <c r="D30" i="3"/>
  <c r="D3" i="3"/>
  <c r="D118" i="3"/>
  <c r="E118" i="3" s="1"/>
  <c r="D96" i="3"/>
  <c r="E96" i="3" s="1"/>
  <c r="D75" i="3"/>
  <c r="D54" i="3"/>
  <c r="E54" i="3" s="1"/>
  <c r="D32" i="3"/>
  <c r="E32" i="3" s="1"/>
  <c r="D5" i="3"/>
  <c r="E5" i="3" s="1"/>
  <c r="D76" i="3"/>
  <c r="D123" i="3"/>
  <c r="B6" i="3"/>
  <c r="C6" i="3" s="1"/>
  <c r="B33" i="3"/>
  <c r="C33" i="3" s="1"/>
  <c r="B54" i="3"/>
  <c r="B76" i="3"/>
  <c r="C76" i="3" s="1"/>
  <c r="B97" i="3"/>
  <c r="C97" i="3" s="1"/>
  <c r="B118" i="3"/>
  <c r="C118" i="3" s="1"/>
  <c r="B140" i="3"/>
  <c r="C140" i="3" s="1"/>
  <c r="B89" i="3"/>
  <c r="C89" i="3" s="1"/>
  <c r="D39" i="3"/>
  <c r="E39" i="3" s="1"/>
  <c r="D106" i="3"/>
  <c r="E106" i="3" s="1"/>
  <c r="D135" i="3"/>
  <c r="B22" i="3"/>
  <c r="C22" i="3" s="1"/>
  <c r="B45" i="3"/>
  <c r="C45" i="3" s="1"/>
  <c r="B66" i="3"/>
  <c r="C66" i="3" s="1"/>
  <c r="B88" i="3"/>
  <c r="C88" i="3" s="1"/>
  <c r="B109" i="3"/>
  <c r="C109" i="3" s="1"/>
  <c r="B130" i="3"/>
  <c r="C130" i="3" s="1"/>
  <c r="B62" i="3"/>
  <c r="C62" i="3" s="1"/>
  <c r="B121" i="3"/>
  <c r="C121" i="3" s="1"/>
  <c r="D66" i="3"/>
  <c r="E66" i="3" s="1"/>
  <c r="D119" i="3"/>
  <c r="B3" i="3"/>
  <c r="C3" i="3" s="1"/>
  <c r="B30" i="3"/>
  <c r="C30" i="3" s="1"/>
  <c r="B84" i="3"/>
  <c r="C84" i="3" s="1"/>
  <c r="D6" i="3"/>
  <c r="F128" i="3"/>
  <c r="F112" i="3"/>
  <c r="F96" i="3"/>
  <c r="F80" i="3"/>
  <c r="F64" i="3"/>
  <c r="F48" i="3"/>
  <c r="F32" i="3"/>
  <c r="F16" i="3"/>
  <c r="F139" i="3"/>
  <c r="F123" i="3"/>
  <c r="F107" i="3"/>
  <c r="F91" i="3"/>
  <c r="F75" i="3"/>
  <c r="F59" i="3"/>
  <c r="F43" i="3"/>
  <c r="D16" i="3"/>
  <c r="E16" i="3" s="1"/>
  <c r="D11" i="3"/>
  <c r="E11" i="3" s="1"/>
  <c r="D27" i="3"/>
  <c r="E27" i="3" s="1"/>
  <c r="D45" i="3"/>
  <c r="E45" i="3" s="1"/>
  <c r="D61" i="3"/>
  <c r="E61" i="3" s="1"/>
  <c r="D77" i="3"/>
  <c r="E77" i="3" s="1"/>
  <c r="D93" i="3"/>
  <c r="E93" i="3" s="1"/>
  <c r="B12" i="3"/>
  <c r="C12" i="3" s="1"/>
  <c r="B28" i="3"/>
  <c r="C28" i="3" s="1"/>
  <c r="D90" i="3"/>
  <c r="E90" i="3" s="1"/>
  <c r="D127" i="3"/>
  <c r="E127" i="3" s="1"/>
  <c r="B11" i="3"/>
  <c r="B37" i="3"/>
  <c r="C37" i="3" s="1"/>
  <c r="B58" i="3"/>
  <c r="C58" i="3" s="1"/>
  <c r="B80" i="3"/>
  <c r="C80" i="3" s="1"/>
  <c r="B101" i="3"/>
  <c r="C101" i="3" s="1"/>
  <c r="B122" i="3"/>
  <c r="C122" i="3" s="1"/>
  <c r="D84" i="3"/>
  <c r="E84" i="3" s="1"/>
  <c r="D63" i="3"/>
  <c r="E63" i="3" s="1"/>
  <c r="D42" i="3"/>
  <c r="E42" i="3" s="1"/>
  <c r="D17" i="3"/>
  <c r="E17" i="3" s="1"/>
  <c r="B139" i="3"/>
  <c r="C139" i="3" s="1"/>
  <c r="B123" i="3"/>
  <c r="C123" i="3" s="1"/>
  <c r="B107" i="3"/>
  <c r="C107" i="3" s="1"/>
  <c r="B91" i="3"/>
  <c r="C91" i="3" s="1"/>
  <c r="B75" i="3"/>
  <c r="C75" i="3" s="1"/>
  <c r="B59" i="3"/>
  <c r="C59" i="3" s="1"/>
  <c r="B43" i="3"/>
  <c r="B26" i="3"/>
  <c r="C26" i="3" s="1"/>
  <c r="B5" i="3"/>
  <c r="C5" i="3" s="1"/>
  <c r="D128" i="3"/>
  <c r="E128" i="3" s="1"/>
  <c r="D110" i="3"/>
  <c r="E110" i="3" s="1"/>
  <c r="D88" i="3"/>
  <c r="E88" i="3" s="1"/>
  <c r="D67" i="3"/>
  <c r="E67" i="3" s="1"/>
  <c r="D46" i="3"/>
  <c r="E46" i="3" s="1"/>
  <c r="D22" i="3"/>
  <c r="E22" i="3" s="1"/>
  <c r="D117" i="3"/>
  <c r="E117" i="3" s="1"/>
  <c r="D112" i="3"/>
  <c r="E112" i="3" s="1"/>
  <c r="D91" i="3"/>
  <c r="E91" i="3" s="1"/>
  <c r="D70" i="3"/>
  <c r="D48" i="3"/>
  <c r="E48" i="3" s="1"/>
  <c r="D26" i="3"/>
  <c r="E26" i="3" s="1"/>
  <c r="D109" i="3"/>
  <c r="E109" i="3" s="1"/>
  <c r="D92" i="3"/>
  <c r="E92" i="3" s="1"/>
  <c r="D129" i="3"/>
  <c r="E129" i="3" s="1"/>
  <c r="B13" i="3"/>
  <c r="C13" i="3" s="1"/>
  <c r="B38" i="3"/>
  <c r="C38" i="3" s="1"/>
  <c r="B60" i="3"/>
  <c r="C60" i="3" s="1"/>
  <c r="B81" i="3"/>
  <c r="C81" i="3" s="1"/>
  <c r="B102" i="3"/>
  <c r="C102" i="3" s="1"/>
  <c r="B124" i="3"/>
  <c r="B41" i="3"/>
  <c r="C41" i="3" s="1"/>
  <c r="B100" i="3"/>
  <c r="C100" i="3" s="1"/>
  <c r="D60" i="3"/>
  <c r="E60" i="3" s="1"/>
  <c r="D116" i="3"/>
  <c r="E116" i="3" s="1"/>
  <c r="D2" i="3"/>
  <c r="E2" i="3" s="1"/>
  <c r="B29" i="3"/>
  <c r="C29" i="3" s="1"/>
  <c r="B50" i="3"/>
  <c r="C50" i="3" s="1"/>
  <c r="B72" i="3"/>
  <c r="C72" i="3" s="1"/>
  <c r="B93" i="3"/>
  <c r="B114" i="3"/>
  <c r="C114" i="3" s="1"/>
  <c r="B136" i="3"/>
  <c r="C136" i="3" s="1"/>
  <c r="B78" i="3"/>
  <c r="B132" i="3"/>
  <c r="C132" i="3" s="1"/>
  <c r="D87" i="3"/>
  <c r="E87" i="3" s="1"/>
  <c r="D126" i="3"/>
  <c r="E126" i="3" s="1"/>
  <c r="B9" i="3"/>
  <c r="C9" i="3" s="1"/>
  <c r="B36" i="3"/>
  <c r="C36" i="3" s="1"/>
  <c r="B105" i="3"/>
  <c r="C105" i="3" s="1"/>
  <c r="F140" i="3"/>
  <c r="F124" i="3"/>
  <c r="F108" i="3"/>
  <c r="F92" i="3"/>
  <c r="F76" i="3"/>
  <c r="F60" i="3"/>
  <c r="F44" i="3"/>
  <c r="F28" i="3"/>
  <c r="F12" i="3"/>
  <c r="F135" i="3"/>
  <c r="F119" i="3"/>
  <c r="F103" i="3"/>
  <c r="F87" i="3"/>
  <c r="F71" i="3"/>
  <c r="F55" i="3"/>
  <c r="F39" i="3"/>
  <c r="F17" i="3"/>
  <c r="F33" i="3"/>
  <c r="F49" i="3"/>
  <c r="F65" i="3"/>
  <c r="F81" i="3"/>
  <c r="F97" i="3"/>
  <c r="F113" i="3"/>
  <c r="F129" i="3"/>
  <c r="F6" i="3"/>
  <c r="F22" i="3"/>
  <c r="F38" i="3"/>
  <c r="F54" i="3"/>
  <c r="F70" i="3"/>
  <c r="F86" i="3"/>
  <c r="F102" i="3"/>
  <c r="F118" i="3"/>
  <c r="F134" i="3"/>
  <c r="F11" i="3"/>
  <c r="F27" i="3"/>
  <c r="F67" i="3"/>
  <c r="F131" i="3"/>
  <c r="F56" i="3"/>
  <c r="F120" i="3"/>
  <c r="B17" i="3"/>
  <c r="C17" i="3" s="1"/>
  <c r="B94" i="3"/>
  <c r="C94" i="3" s="1"/>
  <c r="B77" i="3"/>
  <c r="C77" i="3" s="1"/>
  <c r="D125" i="3"/>
  <c r="E125" i="3" s="1"/>
  <c r="B129" i="3"/>
  <c r="C129" i="3" s="1"/>
  <c r="B44" i="3"/>
  <c r="C44" i="3" s="1"/>
  <c r="D34" i="3"/>
  <c r="E34" i="3" s="1"/>
  <c r="D86" i="3"/>
  <c r="E86" i="3" s="1"/>
  <c r="D40" i="3"/>
  <c r="E40" i="3" s="1"/>
  <c r="D124" i="3"/>
  <c r="E124" i="3" s="1"/>
  <c r="B55" i="3"/>
  <c r="C55" i="3" s="1"/>
  <c r="B119" i="3"/>
  <c r="C119" i="3" s="1"/>
  <c r="D58" i="3"/>
  <c r="E58" i="3" s="1"/>
  <c r="B85" i="3"/>
  <c r="C85" i="3" s="1"/>
  <c r="D133" i="3"/>
  <c r="D97" i="3"/>
  <c r="E97" i="3" s="1"/>
  <c r="D33" i="3"/>
  <c r="E33" i="3" s="1"/>
  <c r="F45" i="3"/>
  <c r="F93" i="3"/>
  <c r="F3" i="3"/>
  <c r="F50" i="3"/>
  <c r="F98" i="3"/>
  <c r="F7" i="3"/>
  <c r="F51" i="3"/>
  <c r="F104" i="3"/>
  <c r="B98" i="3"/>
  <c r="C98" i="3" s="1"/>
  <c r="B65" i="3"/>
  <c r="C65" i="3" s="1"/>
  <c r="D14" i="3"/>
  <c r="E14" i="3" s="1"/>
  <c r="B106" i="3"/>
  <c r="C106" i="3" s="1"/>
  <c r="D49" i="3"/>
  <c r="E49" i="3" s="1"/>
  <c r="F5" i="3"/>
  <c r="F21" i="3"/>
  <c r="F37" i="3"/>
  <c r="F53" i="3"/>
  <c r="F69" i="3"/>
  <c r="F85" i="3"/>
  <c r="F101" i="3"/>
  <c r="F117" i="3"/>
  <c r="F133" i="3"/>
  <c r="F10" i="3"/>
  <c r="F26" i="3"/>
  <c r="F42" i="3"/>
  <c r="F58" i="3"/>
  <c r="F74" i="3"/>
  <c r="F90" i="3"/>
  <c r="F106" i="3"/>
  <c r="F122" i="3"/>
  <c r="F138" i="3"/>
  <c r="F15" i="3"/>
  <c r="F31" i="3"/>
  <c r="F83" i="3"/>
  <c r="F8" i="3"/>
  <c r="F72" i="3"/>
  <c r="F136" i="3"/>
  <c r="D131" i="3"/>
  <c r="E131" i="3" s="1"/>
  <c r="B2" i="3"/>
  <c r="C2" i="3" s="1"/>
  <c r="B56" i="3"/>
  <c r="C56" i="3" s="1"/>
  <c r="D82" i="3"/>
  <c r="E82" i="3" s="1"/>
  <c r="B108" i="3"/>
  <c r="C108" i="3" s="1"/>
  <c r="B19" i="3"/>
  <c r="C19" i="3" s="1"/>
  <c r="D18" i="3"/>
  <c r="E18" i="3" s="1"/>
  <c r="D107" i="3"/>
  <c r="E107" i="3" s="1"/>
  <c r="D62" i="3"/>
  <c r="E62" i="3" s="1"/>
  <c r="D140" i="3"/>
  <c r="E140" i="3" s="1"/>
  <c r="B71" i="3"/>
  <c r="C71" i="3" s="1"/>
  <c r="B135" i="3"/>
  <c r="C135" i="3" s="1"/>
  <c r="D79" i="3"/>
  <c r="E79" i="3" s="1"/>
  <c r="B64" i="3"/>
  <c r="C64" i="3" s="1"/>
  <c r="D100" i="3"/>
  <c r="E100" i="3" s="1"/>
  <c r="D81" i="3"/>
  <c r="E81" i="3" s="1"/>
  <c r="D15" i="3"/>
  <c r="E15" i="3" s="1"/>
  <c r="F29" i="3"/>
  <c r="F77" i="3"/>
  <c r="F125" i="3"/>
  <c r="F34" i="3"/>
  <c r="F82" i="3"/>
  <c r="F130" i="3"/>
  <c r="F115" i="3"/>
  <c r="B52" i="3"/>
  <c r="C52" i="3" s="1"/>
  <c r="B57" i="3"/>
  <c r="C57" i="3" s="1"/>
  <c r="D103" i="3"/>
  <c r="E103" i="3" s="1"/>
  <c r="B39" i="3"/>
  <c r="C39" i="3" s="1"/>
  <c r="D36" i="3"/>
  <c r="E36" i="3" s="1"/>
  <c r="F9" i="3"/>
  <c r="F25" i="3"/>
  <c r="F41" i="3"/>
  <c r="F57" i="3"/>
  <c r="F73" i="3"/>
  <c r="F89" i="3"/>
  <c r="F105" i="3"/>
  <c r="F121" i="3"/>
  <c r="F137" i="3"/>
  <c r="F14" i="3"/>
  <c r="F30" i="3"/>
  <c r="F46" i="3"/>
  <c r="F62" i="3"/>
  <c r="F78" i="3"/>
  <c r="F94" i="3"/>
  <c r="F110" i="3"/>
  <c r="F126" i="3"/>
  <c r="F2" i="3"/>
  <c r="F19" i="3"/>
  <c r="F35" i="3"/>
  <c r="F99" i="3"/>
  <c r="F24" i="3"/>
  <c r="F88" i="3"/>
  <c r="B126" i="3"/>
  <c r="D98" i="3"/>
  <c r="E98" i="3" s="1"/>
  <c r="B120" i="3"/>
  <c r="C120" i="3" s="1"/>
  <c r="B34" i="3"/>
  <c r="C34" i="3" s="1"/>
  <c r="B116" i="3"/>
  <c r="C116" i="3" s="1"/>
  <c r="B86" i="3"/>
  <c r="C86" i="3" s="1"/>
  <c r="D134" i="3"/>
  <c r="E134" i="3" s="1"/>
  <c r="D43" i="3"/>
  <c r="E43" i="3" s="1"/>
  <c r="D113" i="3"/>
  <c r="E113" i="3" s="1"/>
  <c r="D83" i="3"/>
  <c r="E83" i="3" s="1"/>
  <c r="B21" i="3"/>
  <c r="C21" i="3" s="1"/>
  <c r="B87" i="3"/>
  <c r="C87" i="3" s="1"/>
  <c r="D9" i="3"/>
  <c r="E9" i="3" s="1"/>
  <c r="B128" i="3"/>
  <c r="C128" i="3" s="1"/>
  <c r="B42" i="3"/>
  <c r="C42" i="3" s="1"/>
  <c r="D29" i="3"/>
  <c r="E29" i="3" s="1"/>
  <c r="D65" i="3"/>
  <c r="E65" i="3" s="1"/>
  <c r="D20" i="3"/>
  <c r="E20" i="3" s="1"/>
  <c r="E6" i="3"/>
  <c r="C137" i="3"/>
  <c r="C126" i="3"/>
  <c r="C68" i="3"/>
  <c r="E119" i="3"/>
  <c r="E44" i="3"/>
  <c r="C78" i="3"/>
  <c r="C104" i="3"/>
  <c r="C93" i="3"/>
  <c r="C40" i="3"/>
  <c r="C14" i="3"/>
  <c r="E135" i="3"/>
  <c r="E95" i="3"/>
  <c r="C73" i="3"/>
  <c r="C124" i="3"/>
  <c r="C70" i="3"/>
  <c r="C54" i="3"/>
  <c r="E123" i="3"/>
  <c r="E114" i="3"/>
  <c r="E76" i="3"/>
  <c r="E59" i="3"/>
  <c r="E64" i="3"/>
  <c r="E70" i="3"/>
  <c r="E75" i="3"/>
  <c r="E80" i="3"/>
  <c r="E3" i="3"/>
  <c r="E7" i="3"/>
  <c r="E30" i="3"/>
  <c r="E99" i="3"/>
  <c r="E104" i="3"/>
  <c r="E115" i="3"/>
  <c r="E120" i="3"/>
  <c r="C35" i="3"/>
  <c r="C43" i="3"/>
  <c r="C47" i="3"/>
  <c r="C51" i="3"/>
  <c r="C67" i="3"/>
  <c r="C99" i="3"/>
  <c r="C111" i="3"/>
  <c r="C115" i="3"/>
  <c r="E31" i="3"/>
  <c r="E47" i="3"/>
  <c r="E74" i="3"/>
  <c r="C133" i="3"/>
  <c r="C112" i="3"/>
  <c r="C96" i="3"/>
  <c r="C48" i="3"/>
  <c r="C25" i="3"/>
  <c r="C11" i="3"/>
  <c r="C4" i="3"/>
  <c r="E138" i="3"/>
  <c r="E133" i="3"/>
  <c r="E50" i="3"/>
  <c r="C24" i="3"/>
  <c r="C20" i="3"/>
  <c r="C16" i="3"/>
  <c r="C8" i="3"/>
  <c r="E101" i="3"/>
  <c r="E53" i="3"/>
  <c r="E41" i="3"/>
  <c r="E37" i="3"/>
  <c r="E8" i="3"/>
</calcChain>
</file>

<file path=xl/sharedStrings.xml><?xml version="1.0" encoding="utf-8"?>
<sst xmlns="http://schemas.openxmlformats.org/spreadsheetml/2006/main" count="419" uniqueCount="256">
  <si>
    <t>CRD/24/00003</t>
  </si>
  <si>
    <t>CRD/25/00067</t>
  </si>
  <si>
    <t>CRD/25/00084</t>
  </si>
  <si>
    <t>CRD/25/00043</t>
  </si>
  <si>
    <t>CRD/24/00017</t>
  </si>
  <si>
    <t>CRD/24/00014</t>
  </si>
  <si>
    <t>CRD/26/00119</t>
  </si>
  <si>
    <t>CRD/26/00120</t>
  </si>
  <si>
    <t>CRD/25/00041</t>
  </si>
  <si>
    <t>CRD/25/00083</t>
  </si>
  <si>
    <t>CRD/26/00121</t>
  </si>
  <si>
    <t>CRD/26/00039</t>
  </si>
  <si>
    <t>CRD/24/00006</t>
  </si>
  <si>
    <t>CRD/26/00122</t>
  </si>
  <si>
    <t>CRD/25/00089</t>
  </si>
  <si>
    <t>CRD/25/00070</t>
  </si>
  <si>
    <t>CRD/26/00123</t>
  </si>
  <si>
    <t>CRD/25/00022</t>
  </si>
  <si>
    <t>CRD/25/00090</t>
  </si>
  <si>
    <t>CRD/26/00099</t>
  </si>
  <si>
    <t>CRD/24/00018</t>
  </si>
  <si>
    <t>CRD/25/00092</t>
  </si>
  <si>
    <t>CRD/25/00063</t>
  </si>
  <si>
    <t>CRD/26/00100</t>
  </si>
  <si>
    <t>CRD/25/00035</t>
  </si>
  <si>
    <t>CRD/26/00101</t>
  </si>
  <si>
    <t>CRD/25/00076</t>
  </si>
  <si>
    <t>CRD/25/00085</t>
  </si>
  <si>
    <t>CRD/26/00102</t>
  </si>
  <si>
    <t>CRD/25/00062</t>
  </si>
  <si>
    <t>CRD/25/00023</t>
  </si>
  <si>
    <t>CRD/25/00025</t>
  </si>
  <si>
    <t>CRD/25/00031</t>
  </si>
  <si>
    <t>CRD/25/00020</t>
  </si>
  <si>
    <t>CRD/25/00048</t>
  </si>
  <si>
    <t>CRD/25/00021</t>
  </si>
  <si>
    <t>CRD/26/00127</t>
  </si>
  <si>
    <t>CRD/26/00125</t>
  </si>
  <si>
    <t>CRD/25/00030</t>
  </si>
  <si>
    <t>CRD/25/00081</t>
  </si>
  <si>
    <t>CRD/25/00037</t>
  </si>
  <si>
    <t>CRD/26/00110</t>
  </si>
  <si>
    <t>CRD/25/00051</t>
  </si>
  <si>
    <t>CRD/26/00137</t>
  </si>
  <si>
    <t>CRD/26/00104</t>
  </si>
  <si>
    <t>CRD/25/00057</t>
  </si>
  <si>
    <t>CRD/26/00129</t>
  </si>
  <si>
    <t>CRD/25/00045</t>
  </si>
  <si>
    <t>CRD/26/00130</t>
  </si>
  <si>
    <t>CRD/26/00109</t>
  </si>
  <si>
    <t>CRD/25/00079</t>
  </si>
  <si>
    <t>CRD/26/00132</t>
  </si>
  <si>
    <t>CRD/25/00078</t>
  </si>
  <si>
    <t>CRD/25/00071</t>
  </si>
  <si>
    <t>CRD/26/00115</t>
  </si>
  <si>
    <t>CRD/25/00040</t>
  </si>
  <si>
    <t>CRD/24/00005</t>
  </si>
  <si>
    <t>CRD/25/00082</t>
  </si>
  <si>
    <t>CRD/25/00042</t>
  </si>
  <si>
    <t>CRD/25/00069</t>
  </si>
  <si>
    <t>CRD/25/00077</t>
  </si>
  <si>
    <t>CRD/26/00133</t>
  </si>
  <si>
    <t>CRD/26/00134</t>
  </si>
  <si>
    <t>CRD/26/00106</t>
  </si>
  <si>
    <t>CRD/25/00058</t>
  </si>
  <si>
    <t>CRD/26/00108</t>
  </si>
  <si>
    <t>CRD/26/00135</t>
  </si>
  <si>
    <t>CRD/25/00044</t>
  </si>
  <si>
    <t>CRD/25/00080</t>
  </si>
  <si>
    <t>CRD/25/00091</t>
  </si>
  <si>
    <t>CRD/25/00064</t>
  </si>
  <si>
    <t>CRD/25/00086</t>
  </si>
  <si>
    <t>CRD/25/00028</t>
  </si>
  <si>
    <t>CRD/26/00112</t>
  </si>
  <si>
    <t>CRD/24/00010</t>
  </si>
  <si>
    <t>CRD/24/00016</t>
  </si>
  <si>
    <t>CRD/25/00032</t>
  </si>
  <si>
    <t>CRD/25/00072</t>
  </si>
  <si>
    <t>CRD/26/00138</t>
  </si>
  <si>
    <t>CRD/25/00061</t>
  </si>
  <si>
    <t>CRD/25/00024</t>
  </si>
  <si>
    <t>CRD/26/00113</t>
  </si>
  <si>
    <t>CRD/25/00073</t>
  </si>
  <si>
    <t>CRD/26/00114</t>
  </si>
  <si>
    <t>CRD/25/00074</t>
  </si>
  <si>
    <t>CRD/26/00139</t>
  </si>
  <si>
    <t>CRD/25/00093</t>
  </si>
  <si>
    <t>CRD/25/00088</t>
  </si>
  <si>
    <t>CRD/26/00142</t>
  </si>
  <si>
    <t>CRD/25/00087</t>
  </si>
  <si>
    <t>CRD/26/00141</t>
  </si>
  <si>
    <t>CRD/25/00060</t>
  </si>
  <si>
    <t>CRD/26/00140</t>
  </si>
  <si>
    <t>CRD/25/00065</t>
  </si>
  <si>
    <t>CRD/25/00075</t>
  </si>
  <si>
    <t>CRD/25/00019</t>
  </si>
  <si>
    <t>CRD/25/00027</t>
  </si>
  <si>
    <t>CRD/25/00026</t>
  </si>
  <si>
    <t>CRD/25/00029</t>
  </si>
  <si>
    <t>CRD/25/00038</t>
  </si>
  <si>
    <t>CRD/26/00118</t>
  </si>
  <si>
    <t>CRD/26/00144</t>
  </si>
  <si>
    <t>EMPLOYEE ID</t>
  </si>
  <si>
    <t>Lawrence Komolafe</t>
  </si>
  <si>
    <t>Abdulkadir Ahmad</t>
  </si>
  <si>
    <t>Abdullahi Zainab Mohammed</t>
  </si>
  <si>
    <t>Abdulrasaq Aishat Ajoke</t>
  </si>
  <si>
    <t>Adam Abdulateef</t>
  </si>
  <si>
    <t>Adebayo Faith Oluwashikemi</t>
  </si>
  <si>
    <t>Adebayo Femi Ebenezer</t>
  </si>
  <si>
    <t>Adebayo John Olushola</t>
  </si>
  <si>
    <t>Adebayo Samuel Kehinde</t>
  </si>
  <si>
    <t>Adedayo Olajumoke</t>
  </si>
  <si>
    <t>Adedayo Tolulope Adebisi</t>
  </si>
  <si>
    <t>Adepoju Rachael Omotayo</t>
  </si>
  <si>
    <t>Aderinto Damilola Gloria</t>
  </si>
  <si>
    <t>Adeyemo Adeola Dorcas</t>
  </si>
  <si>
    <t>Ajao Yussuf</t>
  </si>
  <si>
    <t>Ajiboye Maruff Akinlabi</t>
  </si>
  <si>
    <t>Akadiri Oluwashogo Mark</t>
  </si>
  <si>
    <t>Akanbi Yetunde Ebunlomo</t>
  </si>
  <si>
    <t>Akinbami Dayo</t>
  </si>
  <si>
    <t>Akomolafe Deborah Temidayo</t>
  </si>
  <si>
    <t>Alao Adetola Ezekiel</t>
  </si>
  <si>
    <t>Alumana marvelous gift</t>
  </si>
  <si>
    <t>Areelu Olayide</t>
  </si>
  <si>
    <t>Awoyemi Emmanuel kolawole</t>
  </si>
  <si>
    <t>Ayegba Peter</t>
  </si>
  <si>
    <t>Ayeni Tosin</t>
  </si>
  <si>
    <t>Ayinla Sulaiman Olaitan</t>
  </si>
  <si>
    <t>Ayoade Abiodun</t>
  </si>
  <si>
    <t>Babatunde Sulaiman Ajibade</t>
  </si>
  <si>
    <t>Bamidele Bukola tajudeen</t>
  </si>
  <si>
    <t>Biliaminu Roheemoh Oreoluwa</t>
  </si>
  <si>
    <t>Boluwatife Omoniyi</t>
  </si>
  <si>
    <t>Bulus Olayemi Bitrus</t>
  </si>
  <si>
    <t>Damilola Oluwapelumi Afolabi</t>
  </si>
  <si>
    <t>David Esther Oluwadamilola</t>
  </si>
  <si>
    <t>Esther Damilola Adeoti</t>
  </si>
  <si>
    <t>Faith Ogunsuyi oluwapelumi</t>
  </si>
  <si>
    <t>Favour Olajide ISAAC</t>
  </si>
  <si>
    <t>Feyishayo olatunji olamide</t>
  </si>
  <si>
    <t>Fortune Sam-Olayemi</t>
  </si>
  <si>
    <t>Gbolahan Mubarak Ayomide</t>
  </si>
  <si>
    <t>Gloria Edeh Onyinye</t>
  </si>
  <si>
    <t>Guma Mercy</t>
  </si>
  <si>
    <t>Ilori Abolade Ifeoluwa</t>
  </si>
  <si>
    <t>Isaac Victoria oluwadamilola</t>
  </si>
  <si>
    <t>Ismail Abdulrasaq</t>
  </si>
  <si>
    <t>Jimoh sarat Damilola</t>
  </si>
  <si>
    <t>Joel Abodunrin Oluwasogo</t>
  </si>
  <si>
    <t>Johnson olajumoke Grace</t>
  </si>
  <si>
    <t>Joseph Oluwaseyi Victoria</t>
  </si>
  <si>
    <t>Joshua Samuel</t>
  </si>
  <si>
    <t>Kalu obike simeon</t>
  </si>
  <si>
    <t>Kariola Esther Ayomide</t>
  </si>
  <si>
    <t>Laaro Halimat Yetunde</t>
  </si>
  <si>
    <t>Lateef Olawale Abdulwasiu</t>
  </si>
  <si>
    <t>Makanjuola Ayomide Martins</t>
  </si>
  <si>
    <t>Mayowa Lawrence Bamidele</t>
  </si>
  <si>
    <t>Ajibola Deborah Idowu</t>
  </si>
  <si>
    <t>Morakinyo Gideon oluwapelumi</t>
  </si>
  <si>
    <t>Ochai Miracle Oyikowo</t>
  </si>
  <si>
    <t>Ojo adenike olufunke</t>
  </si>
  <si>
    <t>Ojo precious ayomide</t>
  </si>
  <si>
    <t>Okoi famous obeten</t>
  </si>
  <si>
    <t>Oladeji Ololade Rhoda</t>
  </si>
  <si>
    <t>Oladipupo funmilayo itunu</t>
  </si>
  <si>
    <t>Oladipupo Mary Boluwatife</t>
  </si>
  <si>
    <t>Oladosu Josephine Oluwabukola</t>
  </si>
  <si>
    <t>OLADOSU KEHINDE MARY</t>
  </si>
  <si>
    <t>Olagunju Aishat Olaide</t>
  </si>
  <si>
    <t>Olaiya Saidat Olajumoke</t>
  </si>
  <si>
    <t>Olamide Adesanwo</t>
  </si>
  <si>
    <t>Olamilekan Hammed Durodola</t>
  </si>
  <si>
    <t>Olarewaju Folakemi Suliat</t>
  </si>
  <si>
    <t>Olatunji Dorcas</t>
  </si>
  <si>
    <t>Olufemi Oluwatosin Elizabeth</t>
  </si>
  <si>
    <t>Olurinola Asipita Mary</t>
  </si>
  <si>
    <t>Oluwatobi Samuel Kolawole</t>
  </si>
  <si>
    <t>Oluyinka Janet Oyinloye</t>
  </si>
  <si>
    <t>Opaleye Gloria Abisola</t>
  </si>
  <si>
    <t>Ori Ogugua Nwoshibe</t>
  </si>
  <si>
    <t>Otokiti Odunayo Babatunde</t>
  </si>
  <si>
    <t>Oyedepo Precious Fishope</t>
  </si>
  <si>
    <t>Oyewumi tosin yinka</t>
  </si>
  <si>
    <t>Samson Olawale Oluwafemi</t>
  </si>
  <si>
    <t>Sheu zainab arinola</t>
  </si>
  <si>
    <t>Azeezat Adebayo Oluwabukola</t>
  </si>
  <si>
    <t>Mustapha Yusuf Oloyin</t>
  </si>
  <si>
    <t>Kudirat Brown-Birena</t>
  </si>
  <si>
    <t>Abolarin Segun Emmanuel</t>
  </si>
  <si>
    <t>FULL NAME</t>
  </si>
  <si>
    <t>Ajibola Adenike Mary</t>
  </si>
  <si>
    <t>Adu Oluwasola Odunayo</t>
  </si>
  <si>
    <t>Akanbi Temidayo Oluwaseun</t>
  </si>
  <si>
    <t>Atobiloye Khadijat Olohuntoyin</t>
  </si>
  <si>
    <t>Ayeni Abiodun Opeyemi</t>
  </si>
  <si>
    <t>Lawanabdulnasir Khalil</t>
  </si>
  <si>
    <t>Mary Ozohu Abdullahi</t>
  </si>
  <si>
    <t>Joseph Olayemi</t>
  </si>
  <si>
    <t>Olaseni Blessing Elizabeth</t>
  </si>
  <si>
    <t>Sulyman Muftau Aremu</t>
  </si>
  <si>
    <t>Ogidiolu Oluwashina Daniel</t>
  </si>
  <si>
    <t>Chief Operating Officer</t>
  </si>
  <si>
    <t>Recovery</t>
  </si>
  <si>
    <t>Loan approval</t>
  </si>
  <si>
    <t>Tech support</t>
  </si>
  <si>
    <t>Security</t>
  </si>
  <si>
    <t>Product designer</t>
  </si>
  <si>
    <t>Product Manager</t>
  </si>
  <si>
    <t>Merchant Acquisition</t>
  </si>
  <si>
    <t>Cleaner</t>
  </si>
  <si>
    <t>Relationship officer</t>
  </si>
  <si>
    <t>Loan approval and assessment</t>
  </si>
  <si>
    <t>Collection</t>
  </si>
  <si>
    <t>Data Analyst</t>
  </si>
  <si>
    <t>Business Operations &amp; Strategy Officer</t>
  </si>
  <si>
    <t>Office Assistant</t>
  </si>
  <si>
    <t>Customer Experience</t>
  </si>
  <si>
    <t>Loan Assessement and Approval</t>
  </si>
  <si>
    <t>Risk and Compliance</t>
  </si>
  <si>
    <t xml:space="preserve">Collection </t>
  </si>
  <si>
    <t>Technical Support</t>
  </si>
  <si>
    <t>Engineer</t>
  </si>
  <si>
    <t>Agugoesi Fidelia Gift</t>
  </si>
  <si>
    <t>Software</t>
  </si>
  <si>
    <t>Marketing</t>
  </si>
  <si>
    <t>Finance</t>
  </si>
  <si>
    <t>Operation</t>
  </si>
  <si>
    <t>Enrollment</t>
  </si>
  <si>
    <t>Cutomer Experience</t>
  </si>
  <si>
    <t>Olawoye Oluwapelumi Motunrayo</t>
  </si>
  <si>
    <t>Human Resource</t>
  </si>
  <si>
    <t>DEPARTMENT</t>
  </si>
  <si>
    <t>Business operation and strategic</t>
  </si>
  <si>
    <t>Okoh Gift Aboselume</t>
  </si>
  <si>
    <t>EMPLOYEE NAME</t>
  </si>
  <si>
    <t>LEAVE TYPE</t>
  </si>
  <si>
    <t>START DATE</t>
  </si>
  <si>
    <t>END DATE</t>
  </si>
  <si>
    <t>DAYS</t>
  </si>
  <si>
    <t>STATUS</t>
  </si>
  <si>
    <t>SICK LEAVE USED</t>
  </si>
  <si>
    <t>SICK LEAVE LEFT</t>
  </si>
  <si>
    <t>ANNUAL LEAVE USED</t>
  </si>
  <si>
    <t>ANNUAL LEAVE LEFT</t>
  </si>
  <si>
    <t>PATERNITY LEAVE</t>
  </si>
  <si>
    <t>MATERNITY LEAVE</t>
  </si>
  <si>
    <t>MARITAL LEAVE</t>
  </si>
  <si>
    <t>Annual Leave</t>
  </si>
  <si>
    <t>COMPASSIONATE LEAVE</t>
  </si>
  <si>
    <t>Sick Leave</t>
  </si>
  <si>
    <t>Approved</t>
  </si>
  <si>
    <t>Maternity Leave</t>
  </si>
  <si>
    <t>Marital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</si>
</sst>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434343"/>
      <name val="Calibri"/>
      <family val="2"/>
      <scheme val="minor"/>
    </font>
    <font>
      <sz val="11"/>
      <color rgb="FF434343"/>
      <name val="Roboto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6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EBE600"/>
        </patternFill>
      </fill>
    </dxf>
    <dxf>
      <fill>
        <patternFill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434343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B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96BE1-3DFF-4A13-AB17-5D6BC0D0F38D}" name="Table1" displayName="Table1" ref="A1:C104" totalsRowShown="0" headerRowDxfId="15">
  <autoFilter ref="A1:C104" xr:uid="{96096BE1-3DFF-4A13-AB17-5D6BC0D0F38D}"/>
  <tableColumns count="3">
    <tableColumn id="1" xr3:uid="{0E762CA0-CCA5-4E71-A69C-E8670BC0F460}" name="EMPLOYEE ID"/>
    <tableColumn id="2" xr3:uid="{48E8C98B-9EE5-4870-97AA-F0C8DFB3C279}" name="FULL NAME" dataDxfId="14"/>
    <tableColumn id="3" xr3:uid="{C64FD40C-1D7D-46C3-B50F-DCA5D9817CA5}" name="DEPARTMENT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9AB3C2-89ED-48F3-9B29-CE78AB583869}" name="Table2" displayName="Table2" ref="A1:G1048573" totalsRowShown="0" headerRowDxfId="12">
  <autoFilter ref="A1:G1048573" xr:uid="{2B9AB3C2-89ED-48F3-9B29-CE78AB583869}"/>
  <tableColumns count="7">
    <tableColumn id="1" xr3:uid="{FA369278-0389-4D07-B893-7CEE6784149A}" name="EMPLOYEE ID"/>
    <tableColumn id="2" xr3:uid="{422573C8-468A-4090-BCBD-AFA75A97064E}" name="EMPLOYEE NAME"/>
    <tableColumn id="3" xr3:uid="{2C9F449F-6608-4215-B4BC-FDCA6AC76CB9}" name="LEAVE TYPE"/>
    <tableColumn id="4" xr3:uid="{1DD2263E-3049-4DEC-8A69-9F66D6C4C965}" name="START DATE" dataDxfId="11"/>
    <tableColumn id="5" xr3:uid="{3C4ADE91-7047-4B00-90BB-93BB5666F6AD}" name="END DATE" dataDxfId="10"/>
    <tableColumn id="6" xr3:uid="{DB06637A-A0D2-4859-A28E-D39BAD297E95}" name="DAYS"/>
    <tableColumn id="7" xr3:uid="{94E9C857-6A55-4171-97DE-326142DA7E27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67A403-1B67-48F0-B752-3753BD2A24E1}" name="Table3" displayName="Table3" ref="A1:I1048576" totalsRowShown="0" headerRowDxfId="9">
  <autoFilter ref="A1:I1048576" xr:uid="{6567A403-1B67-48F0-B752-3753BD2A24E1}"/>
  <tableColumns count="9">
    <tableColumn id="1" xr3:uid="{23CE6B88-0EDA-4322-A00D-8252D86C0BFC}" name="EMPLOYEE NAME"/>
    <tableColumn id="2" xr3:uid="{2509C316-E449-4D93-8B4B-11676A9226F5}" name="SICK LEAVE USED"/>
    <tableColumn id="3" xr3:uid="{9414E012-7D72-454A-8A40-860C78FB3A20}" name="SICK LEAVE LEFT"/>
    <tableColumn id="4" xr3:uid="{8284B66D-4C0D-4857-8B6F-B18698126F84}" name="ANNUAL LEAVE USED"/>
    <tableColumn id="5" xr3:uid="{EC0D0F76-8A1A-49CB-B8AB-E595A7D35D8C}" name="ANNUAL LEAVE LEFT"/>
    <tableColumn id="6" xr3:uid="{012BAACA-3339-4775-9DF3-D5EC0C9B8077}" name="PATERNITY LEAVE"/>
    <tableColumn id="7" xr3:uid="{D0B25A96-7CBC-449A-8A67-E0FE472F0F0B}" name="MATERNITY LEAVE" dataDxfId="8">
      <calculatedColumnFormula>SUMIFS('LEAVE LOG'!F$1:F$1048573,'LEAVE LOG'!B$1:B$1048573,A2,'LEAVE LOG'!C$1:C$1048573,"Maternity Leave",'LEAVE LOG'!G$1:G$1048573,"Approved")</calculatedColumnFormula>
    </tableColumn>
    <tableColumn id="8" xr3:uid="{0B12E024-EB98-4157-B9EF-073AA7D64349}" name="MARITAL LEAVE" dataDxfId="7">
      <calculatedColumnFormula>SUMIFS('LEAVE LOG'!F$1:F$1048573,'LEAVE LOG'!B$1:B$1048573,A2,'LEAVE LOG'!C$1:C$1048573,"Marital Leave",'LEAVE LOG'!G$1:G$1048573,"Approved")</calculatedColumnFormula>
    </tableColumn>
    <tableColumn id="9" xr3:uid="{DA7C1CA1-9DE7-4BF4-8A07-5CEF4EEF43F6}" name="COMPASSIONATE LEAVE" dataDxfId="6">
      <calculatedColumnFormula>SUMIFS('LEAVE LOG'!F$1:F$1048573,'LEAVE LOG'!B$1:B$1048573,A2,'LEAVE LOG'!C$1:C$1048573,"Compassionate Leave",'LEAVE LOG'!G$1:G$1048573,"Approved")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A020-CEF0-4AF5-B0DD-5840F7473EED}">
  <dimension ref="A1:C104"/>
  <sheetViews>
    <sheetView workbookViewId="0">
      <selection activeCell="D2" sqref="D2"/>
    </sheetView>
  </sheetViews>
  <sheetFormatPr defaultColWidth="14.7109375" defaultRowHeight="15" x14ac:dyDescent="0.25"/>
  <cols>
    <col min="1" max="1" width="14.85546875" customWidth="1"/>
    <col min="2" max="2" width="35.85546875" customWidth="1"/>
    <col min="3" max="3" width="41.140625" style="3" customWidth="1"/>
  </cols>
  <sheetData>
    <row r="1" spans="1:3" ht="27.75" customHeight="1" thickBot="1" x14ac:dyDescent="0.3">
      <c r="A1" s="5" t="s">
        <v>102</v>
      </c>
      <c r="B1" s="5" t="s">
        <v>192</v>
      </c>
      <c r="C1" s="5" t="s">
        <v>234</v>
      </c>
    </row>
    <row r="2" spans="1:3" ht="22.5" customHeight="1" thickBot="1" x14ac:dyDescent="0.3">
      <c r="A2" t="s">
        <v>0</v>
      </c>
      <c r="B2" s="1" t="s">
        <v>103</v>
      </c>
      <c r="C2" s="3" t="s">
        <v>204</v>
      </c>
    </row>
    <row r="3" spans="1:3" ht="27" customHeight="1" thickBot="1" x14ac:dyDescent="0.3">
      <c r="A3" t="s">
        <v>1</v>
      </c>
      <c r="B3" s="1" t="s">
        <v>104</v>
      </c>
      <c r="C3" s="3" t="s">
        <v>205</v>
      </c>
    </row>
    <row r="4" spans="1:3" ht="30.75" customHeight="1" thickBot="1" x14ac:dyDescent="0.3">
      <c r="A4" t="s">
        <v>2</v>
      </c>
      <c r="B4" s="1" t="s">
        <v>105</v>
      </c>
      <c r="C4" s="3" t="s">
        <v>219</v>
      </c>
    </row>
    <row r="5" spans="1:3" ht="28.5" customHeight="1" thickBot="1" x14ac:dyDescent="0.3">
      <c r="A5" t="s">
        <v>3</v>
      </c>
      <c r="B5" s="1" t="s">
        <v>106</v>
      </c>
      <c r="C5" s="3" t="s">
        <v>211</v>
      </c>
    </row>
    <row r="6" spans="1:3" ht="22.5" customHeight="1" thickBot="1" x14ac:dyDescent="0.3">
      <c r="A6" t="s">
        <v>4</v>
      </c>
      <c r="B6" s="1" t="s">
        <v>191</v>
      </c>
      <c r="C6" s="3" t="s">
        <v>235</v>
      </c>
    </row>
    <row r="7" spans="1:3" ht="22.5" customHeight="1" thickBot="1" x14ac:dyDescent="0.3">
      <c r="A7" t="s">
        <v>5</v>
      </c>
      <c r="B7" s="1" t="s">
        <v>107</v>
      </c>
      <c r="C7" s="3" t="s">
        <v>205</v>
      </c>
    </row>
    <row r="8" spans="1:3" ht="22.5" customHeight="1" thickBot="1" x14ac:dyDescent="0.3">
      <c r="A8" t="s">
        <v>6</v>
      </c>
      <c r="B8" s="1" t="s">
        <v>108</v>
      </c>
      <c r="C8" s="3" t="s">
        <v>205</v>
      </c>
    </row>
    <row r="9" spans="1:3" ht="24" customHeight="1" thickBot="1" x14ac:dyDescent="0.3">
      <c r="A9" t="s">
        <v>7</v>
      </c>
      <c r="B9" s="1" t="s">
        <v>109</v>
      </c>
      <c r="C9" s="3" t="s">
        <v>215</v>
      </c>
    </row>
    <row r="10" spans="1:3" ht="31.5" customHeight="1" thickBot="1" x14ac:dyDescent="0.3">
      <c r="A10" t="s">
        <v>8</v>
      </c>
      <c r="B10" s="1" t="s">
        <v>110</v>
      </c>
      <c r="C10" s="3" t="s">
        <v>220</v>
      </c>
    </row>
    <row r="11" spans="1:3" ht="26.25" customHeight="1" thickBot="1" x14ac:dyDescent="0.3">
      <c r="A11" t="s">
        <v>9</v>
      </c>
      <c r="B11" s="1" t="s">
        <v>111</v>
      </c>
      <c r="C11" s="3" t="s">
        <v>221</v>
      </c>
    </row>
    <row r="12" spans="1:3" ht="29.25" customHeight="1" thickBot="1" x14ac:dyDescent="0.3">
      <c r="A12" t="s">
        <v>10</v>
      </c>
      <c r="B12" s="1" t="s">
        <v>112</v>
      </c>
      <c r="C12" s="3" t="s">
        <v>215</v>
      </c>
    </row>
    <row r="13" spans="1:3" ht="21.75" customHeight="1" thickBot="1" x14ac:dyDescent="0.3">
      <c r="A13" t="s">
        <v>11</v>
      </c>
      <c r="B13" s="1" t="s">
        <v>113</v>
      </c>
      <c r="C13" s="3" t="s">
        <v>222</v>
      </c>
    </row>
    <row r="14" spans="1:3" ht="22.5" customHeight="1" thickBot="1" x14ac:dyDescent="0.3">
      <c r="A14" t="s">
        <v>12</v>
      </c>
      <c r="B14" s="1" t="s">
        <v>114</v>
      </c>
      <c r="C14" s="3" t="s">
        <v>215</v>
      </c>
    </row>
    <row r="15" spans="1:3" ht="20.25" customHeight="1" thickBot="1" x14ac:dyDescent="0.3">
      <c r="A15" t="s">
        <v>13</v>
      </c>
      <c r="B15" s="1" t="s">
        <v>115</v>
      </c>
      <c r="C15" s="3" t="s">
        <v>215</v>
      </c>
    </row>
    <row r="16" spans="1:3" ht="22.5" customHeight="1" thickBot="1" x14ac:dyDescent="0.3">
      <c r="A16" t="s">
        <v>14</v>
      </c>
      <c r="B16" s="1" t="s">
        <v>116</v>
      </c>
      <c r="C16" s="3" t="s">
        <v>219</v>
      </c>
    </row>
    <row r="17" spans="1:3" ht="21.75" customHeight="1" thickBot="1" x14ac:dyDescent="0.3">
      <c r="A17" t="s">
        <v>15</v>
      </c>
      <c r="B17" s="1" t="s">
        <v>194</v>
      </c>
      <c r="C17" s="3" t="s">
        <v>223</v>
      </c>
    </row>
    <row r="18" spans="1:3" ht="22.5" customHeight="1" thickBot="1" x14ac:dyDescent="0.3">
      <c r="A18" t="s">
        <v>16</v>
      </c>
      <c r="B18" s="1" t="s">
        <v>225</v>
      </c>
      <c r="C18" s="3" t="s">
        <v>215</v>
      </c>
    </row>
    <row r="19" spans="1:3" ht="24" customHeight="1" thickBot="1" x14ac:dyDescent="0.3">
      <c r="A19" t="s">
        <v>17</v>
      </c>
      <c r="B19" s="1" t="s">
        <v>117</v>
      </c>
      <c r="C19" s="3" t="s">
        <v>224</v>
      </c>
    </row>
    <row r="20" spans="1:3" ht="21.75" customHeight="1" thickBot="1" x14ac:dyDescent="0.3">
      <c r="A20" t="s">
        <v>18</v>
      </c>
      <c r="B20" s="1" t="s">
        <v>193</v>
      </c>
      <c r="C20" s="3" t="s">
        <v>215</v>
      </c>
    </row>
    <row r="21" spans="1:3" ht="21.75" customHeight="1" thickBot="1" x14ac:dyDescent="0.3">
      <c r="A21" t="s">
        <v>19</v>
      </c>
      <c r="B21" s="1" t="s">
        <v>118</v>
      </c>
      <c r="C21" s="3" t="s">
        <v>205</v>
      </c>
    </row>
    <row r="22" spans="1:3" ht="20.25" customHeight="1" thickBot="1" x14ac:dyDescent="0.3">
      <c r="A22" t="s">
        <v>20</v>
      </c>
      <c r="B22" s="1" t="s">
        <v>119</v>
      </c>
      <c r="C22" s="3" t="s">
        <v>226</v>
      </c>
    </row>
    <row r="23" spans="1:3" ht="24" customHeight="1" thickBot="1" x14ac:dyDescent="0.3">
      <c r="A23" t="s">
        <v>21</v>
      </c>
      <c r="B23" s="1" t="s">
        <v>195</v>
      </c>
      <c r="C23" s="3" t="s">
        <v>215</v>
      </c>
    </row>
    <row r="24" spans="1:3" ht="24" customHeight="1" thickBot="1" x14ac:dyDescent="0.3">
      <c r="A24" t="s">
        <v>22</v>
      </c>
      <c r="B24" s="1" t="s">
        <v>120</v>
      </c>
      <c r="C24" s="3" t="s">
        <v>215</v>
      </c>
    </row>
    <row r="25" spans="1:3" ht="21.75" customHeight="1" thickBot="1" x14ac:dyDescent="0.3">
      <c r="A25" t="s">
        <v>23</v>
      </c>
      <c r="B25" s="4" t="s">
        <v>121</v>
      </c>
      <c r="C25" s="3" t="s">
        <v>224</v>
      </c>
    </row>
    <row r="26" spans="1:3" ht="25.5" customHeight="1" thickBot="1" x14ac:dyDescent="0.3">
      <c r="A26" t="s">
        <v>24</v>
      </c>
      <c r="B26" s="1" t="s">
        <v>122</v>
      </c>
      <c r="C26" s="3" t="s">
        <v>211</v>
      </c>
    </row>
    <row r="27" spans="1:3" ht="26.25" customHeight="1" thickBot="1" x14ac:dyDescent="0.3">
      <c r="A27" t="s">
        <v>25</v>
      </c>
      <c r="B27" s="1" t="s">
        <v>123</v>
      </c>
      <c r="C27" s="3" t="s">
        <v>215</v>
      </c>
    </row>
    <row r="28" spans="1:3" ht="24.75" customHeight="1" thickBot="1" x14ac:dyDescent="0.3">
      <c r="A28" t="s">
        <v>26</v>
      </c>
      <c r="B28" s="1" t="s">
        <v>124</v>
      </c>
      <c r="C28" s="3" t="s">
        <v>220</v>
      </c>
    </row>
    <row r="29" spans="1:3" ht="20.25" customHeight="1" thickBot="1" x14ac:dyDescent="0.3">
      <c r="A29" t="s">
        <v>27</v>
      </c>
      <c r="B29" s="1" t="s">
        <v>125</v>
      </c>
      <c r="C29" s="3" t="s">
        <v>227</v>
      </c>
    </row>
    <row r="30" spans="1:3" ht="23.25" customHeight="1" thickBot="1" x14ac:dyDescent="0.3">
      <c r="A30" t="s">
        <v>28</v>
      </c>
      <c r="B30" s="1" t="s">
        <v>196</v>
      </c>
      <c r="C30" s="3" t="s">
        <v>228</v>
      </c>
    </row>
    <row r="31" spans="1:3" ht="20.25" customHeight="1" thickBot="1" x14ac:dyDescent="0.3">
      <c r="A31" t="s">
        <v>29</v>
      </c>
      <c r="B31" s="1" t="s">
        <v>126</v>
      </c>
      <c r="C31" s="3" t="s">
        <v>220</v>
      </c>
    </row>
    <row r="32" spans="1:3" ht="30.75" customHeight="1" thickBot="1" x14ac:dyDescent="0.3">
      <c r="A32" t="s">
        <v>30</v>
      </c>
      <c r="B32" s="1" t="s">
        <v>127</v>
      </c>
      <c r="C32" s="3" t="s">
        <v>207</v>
      </c>
    </row>
    <row r="33" spans="1:3" ht="24.75" customHeight="1" thickBot="1" x14ac:dyDescent="0.3">
      <c r="A33" t="s">
        <v>31</v>
      </c>
      <c r="B33" s="1" t="s">
        <v>197</v>
      </c>
      <c r="C33" s="3" t="s">
        <v>205</v>
      </c>
    </row>
    <row r="34" spans="1:3" ht="31.5" customHeight="1" thickBot="1" x14ac:dyDescent="0.3">
      <c r="A34" t="s">
        <v>32</v>
      </c>
      <c r="B34" s="1" t="s">
        <v>128</v>
      </c>
      <c r="C34" s="3" t="s">
        <v>208</v>
      </c>
    </row>
    <row r="35" spans="1:3" ht="29.25" customHeight="1" thickBot="1" x14ac:dyDescent="0.3">
      <c r="A35" t="s">
        <v>33</v>
      </c>
      <c r="B35" s="1" t="s">
        <v>129</v>
      </c>
      <c r="C35" s="3" t="s">
        <v>205</v>
      </c>
    </row>
    <row r="36" spans="1:3" ht="29.25" customHeight="1" thickBot="1" x14ac:dyDescent="0.3">
      <c r="A36" t="s">
        <v>34</v>
      </c>
      <c r="B36" s="4" t="s">
        <v>130</v>
      </c>
      <c r="C36" s="3" t="s">
        <v>209</v>
      </c>
    </row>
    <row r="37" spans="1:3" ht="23.25" customHeight="1" thickBot="1" x14ac:dyDescent="0.3">
      <c r="A37" t="s">
        <v>35</v>
      </c>
      <c r="B37" s="1" t="s">
        <v>131</v>
      </c>
      <c r="C37" s="3" t="s">
        <v>210</v>
      </c>
    </row>
    <row r="38" spans="1:3" ht="26.25" customHeight="1" thickBot="1" x14ac:dyDescent="0.3">
      <c r="A38" t="s">
        <v>36</v>
      </c>
      <c r="B38" s="1" t="s">
        <v>132</v>
      </c>
      <c r="C38" s="3" t="s">
        <v>215</v>
      </c>
    </row>
    <row r="39" spans="1:3" ht="25.5" customHeight="1" thickBot="1" x14ac:dyDescent="0.3">
      <c r="A39" t="s">
        <v>37</v>
      </c>
      <c r="B39" s="1" t="s">
        <v>133</v>
      </c>
      <c r="C39" s="3" t="s">
        <v>211</v>
      </c>
    </row>
    <row r="40" spans="1:3" ht="24.75" customHeight="1" thickBot="1" x14ac:dyDescent="0.3">
      <c r="A40" t="s">
        <v>38</v>
      </c>
      <c r="B40" s="1" t="s">
        <v>134</v>
      </c>
      <c r="C40" s="3" t="s">
        <v>229</v>
      </c>
    </row>
    <row r="41" spans="1:3" ht="23.25" customHeight="1" thickBot="1" x14ac:dyDescent="0.3">
      <c r="A41" t="s">
        <v>39</v>
      </c>
      <c r="B41" s="1" t="s">
        <v>135</v>
      </c>
      <c r="C41" s="3" t="s">
        <v>215</v>
      </c>
    </row>
    <row r="42" spans="1:3" ht="22.5" customHeight="1" thickBot="1" x14ac:dyDescent="0.3">
      <c r="A42" t="s">
        <v>40</v>
      </c>
      <c r="B42" s="1" t="s">
        <v>136</v>
      </c>
      <c r="C42" s="3" t="s">
        <v>215</v>
      </c>
    </row>
    <row r="43" spans="1:3" ht="23.25" customHeight="1" thickBot="1" x14ac:dyDescent="0.3">
      <c r="A43" t="s">
        <v>41</v>
      </c>
      <c r="B43" s="1" t="s">
        <v>137</v>
      </c>
      <c r="C43" s="3" t="s">
        <v>220</v>
      </c>
    </row>
    <row r="44" spans="1:3" ht="21.75" customHeight="1" thickBot="1" x14ac:dyDescent="0.3">
      <c r="A44" t="s">
        <v>42</v>
      </c>
      <c r="B44" s="1" t="s">
        <v>138</v>
      </c>
      <c r="C44" s="3" t="s">
        <v>230</v>
      </c>
    </row>
    <row r="45" spans="1:3" ht="25.5" customHeight="1" thickBot="1" x14ac:dyDescent="0.3">
      <c r="A45" t="s">
        <v>43</v>
      </c>
      <c r="B45" s="1" t="s">
        <v>139</v>
      </c>
      <c r="C45" s="3" t="s">
        <v>215</v>
      </c>
    </row>
    <row r="46" spans="1:3" ht="24" customHeight="1" thickBot="1" x14ac:dyDescent="0.3">
      <c r="A46" t="s">
        <v>44</v>
      </c>
      <c r="B46" s="1" t="s">
        <v>140</v>
      </c>
      <c r="C46" s="3" t="s">
        <v>215</v>
      </c>
    </row>
    <row r="47" spans="1:3" ht="23.25" customHeight="1" thickBot="1" x14ac:dyDescent="0.3">
      <c r="A47" t="s">
        <v>45</v>
      </c>
      <c r="B47" s="1" t="s">
        <v>141</v>
      </c>
      <c r="C47" s="3" t="s">
        <v>215</v>
      </c>
    </row>
    <row r="48" spans="1:3" ht="26.25" customHeight="1" thickBot="1" x14ac:dyDescent="0.3">
      <c r="A48" t="s">
        <v>46</v>
      </c>
      <c r="B48" s="1" t="s">
        <v>142</v>
      </c>
      <c r="C48" s="3" t="s">
        <v>224</v>
      </c>
    </row>
    <row r="49" spans="1:3" ht="27" customHeight="1" thickBot="1" x14ac:dyDescent="0.3">
      <c r="A49" t="s">
        <v>47</v>
      </c>
      <c r="B49" s="1" t="s">
        <v>143</v>
      </c>
      <c r="C49" s="3" t="s">
        <v>211</v>
      </c>
    </row>
    <row r="50" spans="1:3" ht="27" customHeight="1" thickBot="1" x14ac:dyDescent="0.3">
      <c r="A50" t="s">
        <v>48</v>
      </c>
      <c r="B50" s="1" t="s">
        <v>144</v>
      </c>
      <c r="C50" s="3" t="s">
        <v>219</v>
      </c>
    </row>
    <row r="51" spans="1:3" ht="24" customHeight="1" thickBot="1" x14ac:dyDescent="0.3">
      <c r="A51" t="s">
        <v>49</v>
      </c>
      <c r="B51" s="1" t="s">
        <v>145</v>
      </c>
      <c r="C51" s="3" t="s">
        <v>212</v>
      </c>
    </row>
    <row r="52" spans="1:3" ht="26.25" customHeight="1" thickBot="1" x14ac:dyDescent="0.3">
      <c r="A52" t="s">
        <v>50</v>
      </c>
      <c r="B52" s="1" t="s">
        <v>146</v>
      </c>
      <c r="C52" s="3" t="s">
        <v>215</v>
      </c>
    </row>
    <row r="53" spans="1:3" ht="32.25" customHeight="1" thickBot="1" x14ac:dyDescent="0.3">
      <c r="A53" t="s">
        <v>51</v>
      </c>
      <c r="B53" s="1" t="s">
        <v>147</v>
      </c>
      <c r="C53" s="3" t="s">
        <v>215</v>
      </c>
    </row>
    <row r="54" spans="1:3" ht="24" customHeight="1" thickBot="1" x14ac:dyDescent="0.3">
      <c r="A54" t="s">
        <v>52</v>
      </c>
      <c r="B54" s="1" t="s">
        <v>148</v>
      </c>
      <c r="C54" s="3" t="s">
        <v>221</v>
      </c>
    </row>
    <row r="55" spans="1:3" ht="22.5" customHeight="1" thickBot="1" x14ac:dyDescent="0.3">
      <c r="A55" t="s">
        <v>53</v>
      </c>
      <c r="B55" s="1" t="s">
        <v>149</v>
      </c>
      <c r="C55" s="3" t="s">
        <v>228</v>
      </c>
    </row>
    <row r="56" spans="1:3" ht="25.5" customHeight="1" thickBot="1" x14ac:dyDescent="0.3">
      <c r="A56" t="s">
        <v>54</v>
      </c>
      <c r="B56" s="1" t="s">
        <v>150</v>
      </c>
      <c r="C56" s="3" t="s">
        <v>215</v>
      </c>
    </row>
    <row r="57" spans="1:3" ht="27" customHeight="1" thickBot="1" x14ac:dyDescent="0.3">
      <c r="A57" t="s">
        <v>55</v>
      </c>
      <c r="B57" s="1" t="s">
        <v>151</v>
      </c>
      <c r="C57" s="3" t="s">
        <v>215</v>
      </c>
    </row>
    <row r="58" spans="1:3" ht="24.75" customHeight="1" thickBot="1" x14ac:dyDescent="0.3">
      <c r="A58" t="s">
        <v>56</v>
      </c>
      <c r="B58" s="1" t="s">
        <v>200</v>
      </c>
      <c r="C58" s="3" t="s">
        <v>223</v>
      </c>
    </row>
    <row r="59" spans="1:3" ht="30.75" customHeight="1" thickBot="1" x14ac:dyDescent="0.3">
      <c r="A59" t="s">
        <v>57</v>
      </c>
      <c r="B59" s="1" t="s">
        <v>152</v>
      </c>
      <c r="C59" s="3" t="s">
        <v>215</v>
      </c>
    </row>
    <row r="60" spans="1:3" ht="27.75" customHeight="1" thickBot="1" x14ac:dyDescent="0.3">
      <c r="A60" t="s">
        <v>58</v>
      </c>
      <c r="B60" s="1" t="s">
        <v>153</v>
      </c>
      <c r="C60" s="3" t="s">
        <v>213</v>
      </c>
    </row>
    <row r="61" spans="1:3" ht="25.5" customHeight="1" thickBot="1" x14ac:dyDescent="0.3">
      <c r="A61" t="s">
        <v>59</v>
      </c>
      <c r="B61" s="1" t="s">
        <v>154</v>
      </c>
      <c r="C61" s="3" t="s">
        <v>211</v>
      </c>
    </row>
    <row r="62" spans="1:3" ht="21" customHeight="1" thickBot="1" x14ac:dyDescent="0.3">
      <c r="A62" t="s">
        <v>60</v>
      </c>
      <c r="B62" s="1" t="s">
        <v>155</v>
      </c>
      <c r="C62" s="3" t="s">
        <v>215</v>
      </c>
    </row>
    <row r="63" spans="1:3" ht="24" customHeight="1" thickBot="1" x14ac:dyDescent="0.3">
      <c r="A63" t="s">
        <v>61</v>
      </c>
      <c r="B63" s="1" t="s">
        <v>156</v>
      </c>
      <c r="C63" s="3" t="s">
        <v>215</v>
      </c>
    </row>
    <row r="64" spans="1:3" ht="22.5" customHeight="1" thickBot="1" x14ac:dyDescent="0.3">
      <c r="A64" t="s">
        <v>62</v>
      </c>
      <c r="B64" s="1" t="s">
        <v>157</v>
      </c>
      <c r="C64" s="3" t="s">
        <v>228</v>
      </c>
    </row>
    <row r="65" spans="1:3" ht="22.5" customHeight="1" thickBot="1" x14ac:dyDescent="0.3">
      <c r="A65" t="s">
        <v>63</v>
      </c>
      <c r="B65" s="1" t="s">
        <v>198</v>
      </c>
      <c r="C65" s="3" t="s">
        <v>205</v>
      </c>
    </row>
    <row r="66" spans="1:3" ht="29.25" customHeight="1" thickBot="1" x14ac:dyDescent="0.3">
      <c r="A66" t="s">
        <v>64</v>
      </c>
      <c r="B66" s="1" t="s">
        <v>158</v>
      </c>
      <c r="C66" s="3" t="s">
        <v>219</v>
      </c>
    </row>
    <row r="67" spans="1:3" ht="24" customHeight="1" thickBot="1" x14ac:dyDescent="0.3">
      <c r="A67" t="s">
        <v>65</v>
      </c>
      <c r="B67" s="1" t="s">
        <v>199</v>
      </c>
      <c r="C67" s="3" t="s">
        <v>215</v>
      </c>
    </row>
    <row r="68" spans="1:3" ht="27" customHeight="1" thickBot="1" x14ac:dyDescent="0.3">
      <c r="A68" t="s">
        <v>66</v>
      </c>
      <c r="B68" s="1" t="s">
        <v>159</v>
      </c>
      <c r="C68" s="3" t="s">
        <v>205</v>
      </c>
    </row>
    <row r="69" spans="1:3" ht="26.25" customHeight="1" thickBot="1" x14ac:dyDescent="0.3">
      <c r="A69" t="s">
        <v>67</v>
      </c>
      <c r="B69" s="1" t="s">
        <v>160</v>
      </c>
      <c r="C69" s="3" t="s">
        <v>211</v>
      </c>
    </row>
    <row r="70" spans="1:3" ht="27" customHeight="1" thickBot="1" x14ac:dyDescent="0.3">
      <c r="A70" t="s">
        <v>68</v>
      </c>
      <c r="B70" s="1" t="s">
        <v>161</v>
      </c>
      <c r="C70" s="3" t="s">
        <v>215</v>
      </c>
    </row>
    <row r="71" spans="1:3" ht="30" customHeight="1" thickBot="1" x14ac:dyDescent="0.3">
      <c r="A71" t="s">
        <v>69</v>
      </c>
      <c r="B71" s="1" t="s">
        <v>162</v>
      </c>
      <c r="C71" s="3" t="s">
        <v>231</v>
      </c>
    </row>
    <row r="72" spans="1:3" ht="25.5" customHeight="1" thickBot="1" x14ac:dyDescent="0.3">
      <c r="A72" t="s">
        <v>70</v>
      </c>
      <c r="B72" s="1" t="s">
        <v>203</v>
      </c>
      <c r="C72" s="3" t="s">
        <v>214</v>
      </c>
    </row>
    <row r="73" spans="1:3" ht="25.5" customHeight="1" thickBot="1" x14ac:dyDescent="0.3">
      <c r="A73" t="s">
        <v>71</v>
      </c>
      <c r="B73" s="1" t="s">
        <v>163</v>
      </c>
      <c r="C73" s="3" t="s">
        <v>215</v>
      </c>
    </row>
    <row r="74" spans="1:3" ht="25.5" customHeight="1" thickBot="1" x14ac:dyDescent="0.3">
      <c r="A74" t="s">
        <v>72</v>
      </c>
      <c r="B74" s="1" t="s">
        <v>164</v>
      </c>
      <c r="C74" s="3" t="s">
        <v>215</v>
      </c>
    </row>
    <row r="75" spans="1:3" ht="24.75" customHeight="1" thickBot="1" x14ac:dyDescent="0.3">
      <c r="A75" t="s">
        <v>73</v>
      </c>
      <c r="B75" s="1" t="s">
        <v>236</v>
      </c>
      <c r="C75" s="3" t="s">
        <v>215</v>
      </c>
    </row>
    <row r="76" spans="1:3" ht="24.75" customHeight="1" thickBot="1" x14ac:dyDescent="0.3">
      <c r="A76" t="s">
        <v>74</v>
      </c>
      <c r="B76" s="1" t="s">
        <v>165</v>
      </c>
      <c r="C76" s="3" t="s">
        <v>211</v>
      </c>
    </row>
    <row r="77" spans="1:3" ht="20.25" customHeight="1" thickBot="1" x14ac:dyDescent="0.3">
      <c r="A77" t="s">
        <v>75</v>
      </c>
      <c r="B77" s="1" t="s">
        <v>166</v>
      </c>
      <c r="C77" s="3" t="s">
        <v>215</v>
      </c>
    </row>
    <row r="78" spans="1:3" ht="29.25" customHeight="1" thickBot="1" x14ac:dyDescent="0.3">
      <c r="A78" t="s">
        <v>76</v>
      </c>
      <c r="B78" s="1" t="s">
        <v>167</v>
      </c>
      <c r="C78" s="3" t="s">
        <v>206</v>
      </c>
    </row>
    <row r="79" spans="1:3" ht="28.5" customHeight="1" thickBot="1" x14ac:dyDescent="0.3">
      <c r="A79" t="s">
        <v>77</v>
      </c>
      <c r="B79" s="1" t="s">
        <v>168</v>
      </c>
      <c r="C79" s="3" t="s">
        <v>222</v>
      </c>
    </row>
    <row r="80" spans="1:3" ht="16.5" thickBot="1" x14ac:dyDescent="0.3">
      <c r="A80" t="s">
        <v>78</v>
      </c>
      <c r="B80" s="1" t="s">
        <v>169</v>
      </c>
      <c r="C80" s="3" t="s">
        <v>215</v>
      </c>
    </row>
    <row r="81" spans="1:3" ht="30" customHeight="1" thickBot="1" x14ac:dyDescent="0.3">
      <c r="A81" t="s">
        <v>79</v>
      </c>
      <c r="B81" s="1" t="s">
        <v>170</v>
      </c>
      <c r="C81" s="3" t="s">
        <v>220</v>
      </c>
    </row>
    <row r="82" spans="1:3" ht="26.25" customHeight="1" thickBot="1" x14ac:dyDescent="0.3">
      <c r="A82" t="s">
        <v>80</v>
      </c>
      <c r="B82" s="1" t="s">
        <v>171</v>
      </c>
      <c r="C82" s="3" t="s">
        <v>215</v>
      </c>
    </row>
    <row r="83" spans="1:3" ht="27" customHeight="1" thickBot="1" x14ac:dyDescent="0.3">
      <c r="A83" t="s">
        <v>81</v>
      </c>
      <c r="B83" s="1" t="s">
        <v>172</v>
      </c>
      <c r="C83" s="3" t="s">
        <v>215</v>
      </c>
    </row>
    <row r="84" spans="1:3" ht="21" customHeight="1" thickBot="1" x14ac:dyDescent="0.3">
      <c r="A84" t="s">
        <v>82</v>
      </c>
      <c r="B84" s="1" t="s">
        <v>173</v>
      </c>
      <c r="C84" s="3" t="s">
        <v>215</v>
      </c>
    </row>
    <row r="85" spans="1:3" ht="30.75" customHeight="1" thickBot="1" x14ac:dyDescent="0.3">
      <c r="A85" t="s">
        <v>36</v>
      </c>
      <c r="B85" s="1" t="s">
        <v>174</v>
      </c>
      <c r="C85" s="3" t="s">
        <v>215</v>
      </c>
    </row>
    <row r="86" spans="1:3" ht="28.5" customHeight="1" thickBot="1" x14ac:dyDescent="0.3">
      <c r="A86" t="s">
        <v>83</v>
      </c>
      <c r="B86" s="1" t="s">
        <v>175</v>
      </c>
      <c r="C86" s="3" t="s">
        <v>215</v>
      </c>
    </row>
    <row r="87" spans="1:3" ht="24.75" customHeight="1" thickBot="1" x14ac:dyDescent="0.3">
      <c r="A87" t="s">
        <v>84</v>
      </c>
      <c r="B87" s="1" t="s">
        <v>201</v>
      </c>
      <c r="C87" s="3" t="s">
        <v>215</v>
      </c>
    </row>
    <row r="88" spans="1:3" ht="29.25" customHeight="1" thickBot="1" x14ac:dyDescent="0.3">
      <c r="A88" t="s">
        <v>85</v>
      </c>
      <c r="B88" s="1" t="s">
        <v>176</v>
      </c>
      <c r="C88" s="3" t="s">
        <v>219</v>
      </c>
    </row>
    <row r="89" spans="1:3" ht="16.5" thickBot="1" x14ac:dyDescent="0.3">
      <c r="A89" t="s">
        <v>86</v>
      </c>
      <c r="B89" s="1" t="s">
        <v>232</v>
      </c>
      <c r="C89" s="3" t="s">
        <v>220</v>
      </c>
    </row>
    <row r="90" spans="1:3" ht="27" customHeight="1" thickBot="1" x14ac:dyDescent="0.3">
      <c r="A90" t="s">
        <v>87</v>
      </c>
      <c r="B90" s="1" t="s">
        <v>177</v>
      </c>
      <c r="C90" s="3" t="s">
        <v>216</v>
      </c>
    </row>
    <row r="91" spans="1:3" ht="31.5" customHeight="1" thickBot="1" x14ac:dyDescent="0.3">
      <c r="A91" t="s">
        <v>88</v>
      </c>
      <c r="B91" s="1" t="s">
        <v>178</v>
      </c>
      <c r="C91" s="3" t="s">
        <v>233</v>
      </c>
    </row>
    <row r="92" spans="1:3" ht="24" customHeight="1" thickBot="1" x14ac:dyDescent="0.3">
      <c r="A92" t="s">
        <v>89</v>
      </c>
      <c r="B92" s="1" t="s">
        <v>179</v>
      </c>
      <c r="C92" s="3" t="s">
        <v>217</v>
      </c>
    </row>
    <row r="93" spans="1:3" ht="30" customHeight="1" thickBot="1" x14ac:dyDescent="0.3">
      <c r="A93" t="s">
        <v>90</v>
      </c>
      <c r="B93" s="1" t="s">
        <v>180</v>
      </c>
      <c r="C93" s="3" t="s">
        <v>233</v>
      </c>
    </row>
    <row r="94" spans="1:3" ht="24.75" customHeight="1" thickBot="1" x14ac:dyDescent="0.3">
      <c r="A94" t="s">
        <v>91</v>
      </c>
      <c r="B94" s="1" t="s">
        <v>181</v>
      </c>
      <c r="C94" s="3" t="s">
        <v>220</v>
      </c>
    </row>
    <row r="95" spans="1:3" ht="28.5" customHeight="1" thickBot="1" x14ac:dyDescent="0.3">
      <c r="A95" t="s">
        <v>92</v>
      </c>
      <c r="B95" s="1" t="s">
        <v>182</v>
      </c>
      <c r="C95" s="3" t="s">
        <v>205</v>
      </c>
    </row>
    <row r="96" spans="1:3" ht="25.5" customHeight="1" thickBot="1" x14ac:dyDescent="0.3">
      <c r="A96" t="s">
        <v>93</v>
      </c>
      <c r="B96" s="1" t="s">
        <v>183</v>
      </c>
      <c r="C96" s="3" t="s">
        <v>205</v>
      </c>
    </row>
    <row r="97" spans="1:3" ht="27.75" customHeight="1" thickBot="1" x14ac:dyDescent="0.3">
      <c r="A97" t="s">
        <v>94</v>
      </c>
      <c r="B97" s="1" t="s">
        <v>184</v>
      </c>
      <c r="C97" s="3" t="s">
        <v>215</v>
      </c>
    </row>
    <row r="98" spans="1:3" ht="26.25" customHeight="1" thickBot="1" x14ac:dyDescent="0.3">
      <c r="A98" t="s">
        <v>95</v>
      </c>
      <c r="B98" s="1" t="s">
        <v>185</v>
      </c>
      <c r="C98" s="3" t="s">
        <v>223</v>
      </c>
    </row>
    <row r="99" spans="1:3" ht="30" customHeight="1" thickBot="1" x14ac:dyDescent="0.3">
      <c r="A99" t="s">
        <v>96</v>
      </c>
      <c r="B99" s="1" t="s">
        <v>186</v>
      </c>
      <c r="C99" s="3" t="s">
        <v>224</v>
      </c>
    </row>
    <row r="100" spans="1:3" ht="30" customHeight="1" thickBot="1" x14ac:dyDescent="0.3">
      <c r="A100" t="s">
        <v>97</v>
      </c>
      <c r="B100" s="1" t="s">
        <v>187</v>
      </c>
      <c r="C100" s="3" t="s">
        <v>215</v>
      </c>
    </row>
    <row r="101" spans="1:3" ht="27.75" customHeight="1" thickBot="1" x14ac:dyDescent="0.3">
      <c r="A101" t="s">
        <v>98</v>
      </c>
      <c r="B101" s="1" t="s">
        <v>202</v>
      </c>
      <c r="C101" s="3" t="s">
        <v>228</v>
      </c>
    </row>
    <row r="102" spans="1:3" ht="29.25" customHeight="1" thickBot="1" x14ac:dyDescent="0.3">
      <c r="A102" t="s">
        <v>99</v>
      </c>
      <c r="B102" s="1" t="s">
        <v>188</v>
      </c>
      <c r="C102" s="3" t="s">
        <v>215</v>
      </c>
    </row>
    <row r="103" spans="1:3" ht="24" customHeight="1" thickBot="1" x14ac:dyDescent="0.3">
      <c r="A103" t="s">
        <v>100</v>
      </c>
      <c r="B103" s="2" t="s">
        <v>189</v>
      </c>
      <c r="C103" s="3" t="s">
        <v>218</v>
      </c>
    </row>
    <row r="104" spans="1:3" ht="23.25" customHeight="1" thickBot="1" x14ac:dyDescent="0.3">
      <c r="A104" t="s">
        <v>101</v>
      </c>
      <c r="B104" s="2" t="s">
        <v>190</v>
      </c>
      <c r="C104" s="3" t="s">
        <v>227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55E1-9F73-482F-B76B-FB6289BF8EC5}">
  <dimension ref="A1:G433"/>
  <sheetViews>
    <sheetView topLeftCell="A11" workbookViewId="0">
      <selection activeCell="A32" sqref="A32:XFD32"/>
    </sheetView>
  </sheetViews>
  <sheetFormatPr defaultRowHeight="15" x14ac:dyDescent="0.25"/>
  <cols>
    <col min="1" max="1" width="20.5703125" customWidth="1"/>
    <col min="2" max="2" width="32.42578125" customWidth="1"/>
    <col min="3" max="3" width="21.7109375" customWidth="1"/>
    <col min="4" max="4" width="18.140625" style="7" customWidth="1"/>
    <col min="5" max="5" width="17.42578125" style="7" customWidth="1"/>
    <col min="6" max="6" width="12.42578125" customWidth="1"/>
    <col min="7" max="7" width="15.42578125" customWidth="1"/>
  </cols>
  <sheetData>
    <row r="1" spans="1:7" x14ac:dyDescent="0.25">
      <c r="A1" s="6" t="s">
        <v>102</v>
      </c>
      <c r="B1" s="6" t="s">
        <v>237</v>
      </c>
      <c r="C1" s="6" t="s">
        <v>238</v>
      </c>
      <c r="D1" s="8" t="s">
        <v>239</v>
      </c>
      <c r="E1" s="8" t="s">
        <v>240</v>
      </c>
      <c r="F1" s="6" t="s">
        <v>241</v>
      </c>
      <c r="G1" s="6" t="s">
        <v>242</v>
      </c>
    </row>
    <row r="2" spans="1:7" x14ac:dyDescent="0.25">
      <c r="A2" t="s">
        <v>38</v>
      </c>
      <c r="B2" t="str">
        <f>IFERROR(VLOOKUP(A2,EMPLOYEES!A:B,2,FALSE),"")</f>
        <v>Boluwatife Omoniyi</v>
      </c>
      <c r="C2" t="s">
        <v>252</v>
      </c>
      <c r="D2" s="10">
        <v>46057</v>
      </c>
      <c r="E2" s="10">
        <v>46059</v>
      </c>
      <c r="F2" s="9">
        <f>E2-D2</f>
        <v>2</v>
      </c>
      <c r="G2" t="s">
        <v>253</v>
      </c>
    </row>
    <row r="3" spans="1:7" x14ac:dyDescent="0.25">
      <c r="A3" t="s">
        <v>55</v>
      </c>
      <c r="B3" t="str">
        <f>IFERROR(VLOOKUP(A3,EMPLOYEES!A:B,2,FALSE),"")</f>
        <v>Johnson olajumoke Grace</v>
      </c>
      <c r="C3" t="s">
        <v>252</v>
      </c>
      <c r="D3" s="10">
        <v>46127</v>
      </c>
      <c r="E3" s="10">
        <v>46128</v>
      </c>
      <c r="F3" s="9">
        <f t="shared" ref="F3:F55" si="0">E3-D3</f>
        <v>1</v>
      </c>
      <c r="G3" t="s">
        <v>253</v>
      </c>
    </row>
    <row r="4" spans="1:7" x14ac:dyDescent="0.25">
      <c r="A4" t="s">
        <v>56</v>
      </c>
      <c r="B4" t="str">
        <f>IFERROR(VLOOKUP(A4,EMPLOYEES!A:B,2,FALSE),"")</f>
        <v>Joseph Olayemi</v>
      </c>
      <c r="C4" t="s">
        <v>252</v>
      </c>
      <c r="D4" s="10">
        <v>46058</v>
      </c>
      <c r="E4" s="10">
        <v>46063</v>
      </c>
      <c r="F4" s="9">
        <f t="shared" si="0"/>
        <v>5</v>
      </c>
      <c r="G4" t="s">
        <v>253</v>
      </c>
    </row>
    <row r="5" spans="1:7" x14ac:dyDescent="0.25">
      <c r="A5" t="s">
        <v>99</v>
      </c>
      <c r="B5" t="str">
        <f>IFERROR(VLOOKUP(A5,EMPLOYEES!A:B,2,FALSE),"")</f>
        <v>Azeezat Adebayo Oluwabukola</v>
      </c>
      <c r="C5" t="s">
        <v>250</v>
      </c>
      <c r="D5" s="10">
        <v>46081</v>
      </c>
      <c r="E5" s="10">
        <v>46091</v>
      </c>
      <c r="F5" s="9">
        <f t="shared" si="0"/>
        <v>10</v>
      </c>
      <c r="G5" t="s">
        <v>253</v>
      </c>
    </row>
    <row r="6" spans="1:7" x14ac:dyDescent="0.25">
      <c r="A6" t="s">
        <v>99</v>
      </c>
      <c r="B6" t="str">
        <f>IFERROR(VLOOKUP(A6,EMPLOYEES!A:B,2,FALSE),"")</f>
        <v>Azeezat Adebayo Oluwabukola</v>
      </c>
      <c r="C6" t="s">
        <v>252</v>
      </c>
      <c r="D6" s="10">
        <v>46091</v>
      </c>
      <c r="E6" s="10">
        <v>46096</v>
      </c>
      <c r="F6" s="9">
        <f t="shared" si="0"/>
        <v>5</v>
      </c>
      <c r="G6" t="s">
        <v>253</v>
      </c>
    </row>
    <row r="7" spans="1:7" x14ac:dyDescent="0.25">
      <c r="A7" t="s">
        <v>84</v>
      </c>
      <c r="B7" t="str">
        <f>IFERROR(VLOOKUP(A7,EMPLOYEES!A:B,2,FALSE),"")</f>
        <v>Olaseni Blessing Elizabeth</v>
      </c>
      <c r="C7" t="s">
        <v>250</v>
      </c>
      <c r="D7" s="10">
        <v>46062</v>
      </c>
      <c r="E7" s="10">
        <v>46064</v>
      </c>
      <c r="F7" s="9">
        <f t="shared" si="0"/>
        <v>2</v>
      </c>
      <c r="G7" t="s">
        <v>253</v>
      </c>
    </row>
    <row r="8" spans="1:7" x14ac:dyDescent="0.25">
      <c r="A8" t="s">
        <v>80</v>
      </c>
      <c r="B8" t="str">
        <f>IFERROR(VLOOKUP(A8,EMPLOYEES!A:B,2,FALSE),"")</f>
        <v>Olagunju Aishat Olaide</v>
      </c>
      <c r="C8" t="s">
        <v>252</v>
      </c>
      <c r="D8" s="10">
        <v>46086</v>
      </c>
      <c r="E8" s="10">
        <v>46091</v>
      </c>
      <c r="F8" s="9">
        <f t="shared" si="0"/>
        <v>5</v>
      </c>
      <c r="G8" t="s">
        <v>253</v>
      </c>
    </row>
    <row r="9" spans="1:7" x14ac:dyDescent="0.25">
      <c r="A9" t="s">
        <v>12</v>
      </c>
      <c r="B9" t="str">
        <f>IFERROR(VLOOKUP(A9,EMPLOYEES!A:B,2,FALSE),"")</f>
        <v>Adepoju Rachael Omotayo</v>
      </c>
      <c r="C9" t="s">
        <v>254</v>
      </c>
      <c r="D9" s="10">
        <v>46055</v>
      </c>
      <c r="E9" s="10">
        <v>46145</v>
      </c>
      <c r="F9" s="9">
        <f t="shared" si="0"/>
        <v>90</v>
      </c>
      <c r="G9" t="s">
        <v>253</v>
      </c>
    </row>
    <row r="10" spans="1:7" x14ac:dyDescent="0.25">
      <c r="A10" t="s">
        <v>12</v>
      </c>
      <c r="B10" t="str">
        <f>IFERROR(VLOOKUP(A10,EMPLOYEES!A:B,2,FALSE),"")</f>
        <v>Adepoju Rachael Omotayo</v>
      </c>
      <c r="C10" t="s">
        <v>252</v>
      </c>
      <c r="D10" s="10">
        <v>46048</v>
      </c>
      <c r="E10" s="10">
        <v>46053</v>
      </c>
      <c r="F10" s="9">
        <f t="shared" si="0"/>
        <v>5</v>
      </c>
      <c r="G10" t="s">
        <v>253</v>
      </c>
    </row>
    <row r="11" spans="1:7" x14ac:dyDescent="0.25">
      <c r="A11" t="s">
        <v>12</v>
      </c>
      <c r="B11" t="str">
        <f>IFERROR(VLOOKUP(A11,EMPLOYEES!A:B,2,FALSE),"")</f>
        <v>Adepoju Rachael Omotayo</v>
      </c>
      <c r="C11" t="s">
        <v>250</v>
      </c>
      <c r="D11" s="10">
        <v>46040</v>
      </c>
      <c r="E11" s="10">
        <v>46046</v>
      </c>
      <c r="F11" s="9">
        <f t="shared" si="0"/>
        <v>6</v>
      </c>
      <c r="G11" t="s">
        <v>253</v>
      </c>
    </row>
    <row r="12" spans="1:7" x14ac:dyDescent="0.25">
      <c r="A12" t="s">
        <v>14</v>
      </c>
      <c r="B12" t="str">
        <f>IFERROR(VLOOKUP(A12,EMPLOYEES!A:B,2,FALSE),"")</f>
        <v>Adeyemo Adeola Dorcas</v>
      </c>
      <c r="C12" t="s">
        <v>250</v>
      </c>
      <c r="D12" s="10">
        <v>46039</v>
      </c>
      <c r="E12" s="10">
        <v>46041</v>
      </c>
      <c r="F12" s="9">
        <f t="shared" si="0"/>
        <v>2</v>
      </c>
      <c r="G12" t="s">
        <v>253</v>
      </c>
    </row>
    <row r="13" spans="1:7" x14ac:dyDescent="0.25">
      <c r="A13" t="s">
        <v>14</v>
      </c>
      <c r="B13" t="str">
        <f>IFERROR(VLOOKUP(A13,EMPLOYEES!A:B,2,FALSE),"")</f>
        <v>Adeyemo Adeola Dorcas</v>
      </c>
      <c r="C13" t="s">
        <v>252</v>
      </c>
      <c r="D13" s="10">
        <v>46128</v>
      </c>
      <c r="E13" s="10">
        <v>46130</v>
      </c>
      <c r="F13" s="9">
        <f t="shared" si="0"/>
        <v>2</v>
      </c>
      <c r="G13" t="s">
        <v>253</v>
      </c>
    </row>
    <row r="14" spans="1:7" x14ac:dyDescent="0.25">
      <c r="A14" t="s">
        <v>69</v>
      </c>
      <c r="B14" t="s">
        <v>202</v>
      </c>
      <c r="C14" t="s">
        <v>252</v>
      </c>
      <c r="D14" s="10">
        <v>46085</v>
      </c>
      <c r="E14" s="10">
        <v>46087</v>
      </c>
      <c r="F14" s="9">
        <f t="shared" si="0"/>
        <v>2</v>
      </c>
      <c r="G14" t="s">
        <v>253</v>
      </c>
    </row>
    <row r="15" spans="1:7" x14ac:dyDescent="0.25">
      <c r="A15" t="s">
        <v>2</v>
      </c>
      <c r="B15" t="str">
        <f>IFERROR(VLOOKUP(A15,EMPLOYEES!A:B,2,FALSE),"")</f>
        <v>Abdullahi Zainab Mohammed</v>
      </c>
      <c r="C15" t="s">
        <v>252</v>
      </c>
      <c r="D15" s="10">
        <v>46070</v>
      </c>
      <c r="E15" s="10">
        <v>46072</v>
      </c>
      <c r="F15" s="9">
        <f t="shared" si="0"/>
        <v>2</v>
      </c>
      <c r="G15" t="s">
        <v>253</v>
      </c>
    </row>
    <row r="16" spans="1:7" x14ac:dyDescent="0.25">
      <c r="A16" t="s">
        <v>2</v>
      </c>
      <c r="B16" t="str">
        <f>IFERROR(VLOOKUP(A16,EMPLOYEES!A:B,2,FALSE),"")</f>
        <v>Abdullahi Zainab Mohammed</v>
      </c>
      <c r="C16" t="s">
        <v>250</v>
      </c>
      <c r="D16" s="10">
        <v>46099</v>
      </c>
      <c r="E16" s="10">
        <v>46105</v>
      </c>
      <c r="F16" s="9">
        <f t="shared" si="0"/>
        <v>6</v>
      </c>
      <c r="G16" t="s">
        <v>253</v>
      </c>
    </row>
    <row r="17" spans="1:7" x14ac:dyDescent="0.25">
      <c r="A17" t="s">
        <v>79</v>
      </c>
      <c r="B17" t="str">
        <f>IFERROR(VLOOKUP(A17,EMPLOYEES!A:B,2,FALSE),"")</f>
        <v>OLADOSU KEHINDE MARY</v>
      </c>
      <c r="C17" t="s">
        <v>252</v>
      </c>
      <c r="D17" s="10">
        <v>46079</v>
      </c>
      <c r="E17" s="10">
        <v>46080</v>
      </c>
      <c r="F17" s="9">
        <f t="shared" si="0"/>
        <v>1</v>
      </c>
      <c r="G17" t="s">
        <v>253</v>
      </c>
    </row>
    <row r="18" spans="1:7" x14ac:dyDescent="0.25">
      <c r="A18" t="s">
        <v>79</v>
      </c>
      <c r="B18" t="str">
        <f>IFERROR(VLOOKUP(A18,EMPLOYEES!A:B,2,FALSE),"")</f>
        <v>OLADOSU KEHINDE MARY</v>
      </c>
      <c r="C18" t="s">
        <v>252</v>
      </c>
      <c r="D18" s="10">
        <v>46128</v>
      </c>
      <c r="E18" s="10">
        <v>46129</v>
      </c>
      <c r="F18" s="9">
        <f t="shared" si="0"/>
        <v>1</v>
      </c>
      <c r="G18" t="s">
        <v>253</v>
      </c>
    </row>
    <row r="19" spans="1:7" x14ac:dyDescent="0.25">
      <c r="A19" t="s">
        <v>70</v>
      </c>
      <c r="B19" t="str">
        <f>IFERROR(VLOOKUP(A19,EMPLOYEES!A:B,2,FALSE),"")</f>
        <v>Ogidiolu Oluwashina Daniel</v>
      </c>
      <c r="C19" t="s">
        <v>252</v>
      </c>
      <c r="D19" s="10">
        <v>46071</v>
      </c>
      <c r="E19" s="10">
        <v>46073</v>
      </c>
      <c r="F19" s="9">
        <f t="shared" si="0"/>
        <v>2</v>
      </c>
      <c r="G19" t="s">
        <v>253</v>
      </c>
    </row>
    <row r="20" spans="1:7" x14ac:dyDescent="0.25">
      <c r="A20" t="s">
        <v>98</v>
      </c>
      <c r="B20" t="str">
        <f>IFERROR(VLOOKUP(A20,EMPLOYEES!A:B,2,FALSE),"")</f>
        <v>Sulyman Muftau Aremu</v>
      </c>
      <c r="C20" t="s">
        <v>250</v>
      </c>
      <c r="D20" s="10">
        <v>46121</v>
      </c>
      <c r="E20" s="10">
        <v>46123</v>
      </c>
      <c r="F20" s="9">
        <f t="shared" si="0"/>
        <v>2</v>
      </c>
      <c r="G20" t="s">
        <v>253</v>
      </c>
    </row>
    <row r="21" spans="1:7" x14ac:dyDescent="0.25">
      <c r="A21" t="s">
        <v>89</v>
      </c>
      <c r="B21" t="str">
        <f>IFERROR(VLOOKUP(A21,EMPLOYEES!A:B,2,FALSE),"")</f>
        <v>Oluwatobi Samuel Kolawole</v>
      </c>
      <c r="C21" t="s">
        <v>252</v>
      </c>
      <c r="D21" s="10">
        <v>46064</v>
      </c>
      <c r="E21" s="10">
        <v>46065</v>
      </c>
      <c r="F21" s="9">
        <f t="shared" si="0"/>
        <v>1</v>
      </c>
      <c r="G21" t="s">
        <v>253</v>
      </c>
    </row>
    <row r="22" spans="1:7" x14ac:dyDescent="0.25">
      <c r="A22" t="s">
        <v>89</v>
      </c>
      <c r="B22" t="str">
        <f>IFERROR(VLOOKUP(A22,EMPLOYEES!A:B,2,FALSE),"")</f>
        <v>Oluwatobi Samuel Kolawole</v>
      </c>
      <c r="C22" t="s">
        <v>250</v>
      </c>
      <c r="D22" s="10">
        <v>46073</v>
      </c>
      <c r="E22" s="10">
        <v>46076</v>
      </c>
      <c r="F22" s="9">
        <f t="shared" si="0"/>
        <v>3</v>
      </c>
      <c r="G22" t="s">
        <v>253</v>
      </c>
    </row>
    <row r="23" spans="1:7" x14ac:dyDescent="0.25">
      <c r="A23" t="s">
        <v>89</v>
      </c>
      <c r="B23" t="str">
        <f>IFERROR(VLOOKUP(A23,EMPLOYEES!A:B,2,FALSE),"")</f>
        <v>Oluwatobi Samuel Kolawole</v>
      </c>
      <c r="C23" t="s">
        <v>255</v>
      </c>
      <c r="D23" s="10">
        <v>46092</v>
      </c>
      <c r="E23" s="10">
        <v>46113</v>
      </c>
      <c r="F23" s="9">
        <f t="shared" si="0"/>
        <v>21</v>
      </c>
      <c r="G23" t="s">
        <v>253</v>
      </c>
    </row>
    <row r="24" spans="1:7" x14ac:dyDescent="0.25">
      <c r="A24" t="s">
        <v>87</v>
      </c>
      <c r="B24" t="str">
        <f>IFERROR(VLOOKUP(A24,EMPLOYEES!A:B,2,FALSE),"")</f>
        <v>Olufemi Oluwatosin Elizabeth</v>
      </c>
      <c r="C24" t="s">
        <v>252</v>
      </c>
      <c r="D24" s="10">
        <v>46074</v>
      </c>
      <c r="E24" s="10">
        <v>46077</v>
      </c>
      <c r="F24" s="9">
        <f t="shared" si="0"/>
        <v>3</v>
      </c>
      <c r="G24" t="s">
        <v>253</v>
      </c>
    </row>
    <row r="25" spans="1:7" x14ac:dyDescent="0.25">
      <c r="A25" t="s">
        <v>87</v>
      </c>
      <c r="B25" t="str">
        <f>IFERROR(VLOOKUP(A25,EMPLOYEES!A:B,2,FALSE),"")</f>
        <v>Olufemi Oluwatosin Elizabeth</v>
      </c>
      <c r="C25" t="s">
        <v>252</v>
      </c>
      <c r="D25" s="10">
        <v>46119</v>
      </c>
      <c r="E25" s="10">
        <v>46121</v>
      </c>
      <c r="F25" s="9">
        <f t="shared" si="0"/>
        <v>2</v>
      </c>
      <c r="G25" t="s">
        <v>253</v>
      </c>
    </row>
    <row r="26" spans="1:7" x14ac:dyDescent="0.25">
      <c r="A26" t="s">
        <v>85</v>
      </c>
      <c r="B26" t="str">
        <f>IFERROR(VLOOKUP(A26,EMPLOYEES!A:B,2,FALSE),"")</f>
        <v>Olatunji Dorcas</v>
      </c>
      <c r="C26" t="s">
        <v>250</v>
      </c>
      <c r="D26" s="10">
        <v>46118</v>
      </c>
      <c r="E26" s="10">
        <v>46123</v>
      </c>
      <c r="F26" s="9">
        <f t="shared" si="0"/>
        <v>5</v>
      </c>
      <c r="G26" t="s">
        <v>253</v>
      </c>
    </row>
    <row r="27" spans="1:7" x14ac:dyDescent="0.25">
      <c r="A27" t="s">
        <v>85</v>
      </c>
      <c r="B27" t="str">
        <f>IFERROR(VLOOKUP(A27,EMPLOYEES!A:B,2,FALSE),"")</f>
        <v>Olatunji Dorcas</v>
      </c>
      <c r="C27" t="s">
        <v>252</v>
      </c>
      <c r="D27" s="10">
        <v>46128</v>
      </c>
      <c r="E27" s="10">
        <v>46130</v>
      </c>
      <c r="F27" s="9">
        <f t="shared" si="0"/>
        <v>2</v>
      </c>
      <c r="G27" t="s">
        <v>253</v>
      </c>
    </row>
    <row r="28" spans="1:7" x14ac:dyDescent="0.25">
      <c r="A28" t="s">
        <v>10</v>
      </c>
      <c r="B28" t="str">
        <f>IFERROR(VLOOKUP(A28,EMPLOYEES!A:B,2,FALSE),"")</f>
        <v>Adedayo Olajumoke</v>
      </c>
      <c r="C28" t="s">
        <v>250</v>
      </c>
      <c r="D28" s="10">
        <v>46120</v>
      </c>
      <c r="E28" s="10">
        <v>46122</v>
      </c>
      <c r="F28" s="9">
        <f t="shared" si="0"/>
        <v>2</v>
      </c>
      <c r="G28" t="s">
        <v>253</v>
      </c>
    </row>
    <row r="29" spans="1:7" x14ac:dyDescent="0.25">
      <c r="A29" t="s">
        <v>10</v>
      </c>
      <c r="B29" t="str">
        <f>IFERROR(VLOOKUP(A29,EMPLOYEES!A:B,2,FALSE),"")</f>
        <v>Adedayo Olajumoke</v>
      </c>
      <c r="C29" t="s">
        <v>250</v>
      </c>
      <c r="D29" s="10">
        <v>46123</v>
      </c>
      <c r="E29" s="10">
        <v>46124</v>
      </c>
      <c r="F29" s="9">
        <f t="shared" si="0"/>
        <v>1</v>
      </c>
      <c r="G29" t="s">
        <v>253</v>
      </c>
    </row>
    <row r="30" spans="1:7" x14ac:dyDescent="0.25">
      <c r="A30" t="s">
        <v>10</v>
      </c>
      <c r="B30" t="str">
        <f>IFERROR(VLOOKUP(A30,EMPLOYEES!A:B,2,FALSE),"")</f>
        <v>Adedayo Olajumoke</v>
      </c>
      <c r="C30" t="s">
        <v>250</v>
      </c>
      <c r="D30" s="10">
        <v>46130</v>
      </c>
      <c r="E30" s="10">
        <v>46131</v>
      </c>
      <c r="F30" s="9">
        <f t="shared" si="0"/>
        <v>1</v>
      </c>
      <c r="G30" t="s">
        <v>253</v>
      </c>
    </row>
    <row r="31" spans="1:7" x14ac:dyDescent="0.25">
      <c r="A31" t="s">
        <v>38</v>
      </c>
      <c r="B31" t="str">
        <f>IFERROR(VLOOKUP(A31,EMPLOYEES!A:B,2,FALSE),"")</f>
        <v>Boluwatife Omoniyi</v>
      </c>
      <c r="C31" t="s">
        <v>252</v>
      </c>
      <c r="D31" s="10">
        <v>46129</v>
      </c>
      <c r="E31" s="10">
        <v>46130</v>
      </c>
      <c r="F31" s="9">
        <f t="shared" si="0"/>
        <v>1</v>
      </c>
      <c r="G31" t="s">
        <v>253</v>
      </c>
    </row>
    <row r="32" spans="1:7" x14ac:dyDescent="0.25">
      <c r="B32" t="str">
        <f>IFERROR(VLOOKUP(A32,EMPLOYEES!A:B,2,FALSE),"")</f>
        <v/>
      </c>
      <c r="D32" s="10"/>
      <c r="E32" s="10"/>
      <c r="F32" s="9">
        <f t="shared" si="0"/>
        <v>0</v>
      </c>
    </row>
    <row r="33" spans="2:6" x14ac:dyDescent="0.25">
      <c r="B33" t="str">
        <f>IFERROR(VLOOKUP(A33,EMPLOYEES!A:B,2,FALSE),"")</f>
        <v/>
      </c>
      <c r="D33" s="10"/>
      <c r="E33" s="10"/>
      <c r="F33" s="9">
        <f t="shared" si="0"/>
        <v>0</v>
      </c>
    </row>
    <row r="34" spans="2:6" x14ac:dyDescent="0.25">
      <c r="B34" t="str">
        <f>IFERROR(VLOOKUP(A34,EMPLOYEES!A:B,2,FALSE),"")</f>
        <v/>
      </c>
      <c r="D34" s="10"/>
      <c r="E34" s="10"/>
      <c r="F34" s="9">
        <f t="shared" si="0"/>
        <v>0</v>
      </c>
    </row>
    <row r="35" spans="2:6" x14ac:dyDescent="0.25">
      <c r="B35" t="str">
        <f>IFERROR(VLOOKUP(A35,EMPLOYEES!A:B,2,FALSE),"")</f>
        <v/>
      </c>
      <c r="D35" s="10"/>
      <c r="E35" s="10"/>
      <c r="F35" s="9">
        <f t="shared" si="0"/>
        <v>0</v>
      </c>
    </row>
    <row r="36" spans="2:6" x14ac:dyDescent="0.25">
      <c r="B36" t="str">
        <f>IFERROR(VLOOKUP(A36,EMPLOYEES!A:B,2,FALSE),"")</f>
        <v/>
      </c>
      <c r="D36" s="10"/>
      <c r="E36" s="10"/>
      <c r="F36" s="9">
        <f t="shared" si="0"/>
        <v>0</v>
      </c>
    </row>
    <row r="37" spans="2:6" x14ac:dyDescent="0.25">
      <c r="B37" t="str">
        <f>IFERROR(VLOOKUP(A37,EMPLOYEES!A:B,2,FALSE),"")</f>
        <v/>
      </c>
      <c r="D37" s="10"/>
      <c r="E37" s="10"/>
      <c r="F37" s="9">
        <f t="shared" si="0"/>
        <v>0</v>
      </c>
    </row>
    <row r="38" spans="2:6" x14ac:dyDescent="0.25">
      <c r="B38" t="str">
        <f>IFERROR(VLOOKUP(A38,EMPLOYEES!A:B,2,FALSE),"")</f>
        <v/>
      </c>
      <c r="D38" s="10"/>
      <c r="E38" s="10"/>
      <c r="F38" s="9">
        <f t="shared" si="0"/>
        <v>0</v>
      </c>
    </row>
    <row r="39" spans="2:6" x14ac:dyDescent="0.25">
      <c r="B39" t="str">
        <f>IFERROR(VLOOKUP(A39,EMPLOYEES!A:B,2,FALSE),"")</f>
        <v/>
      </c>
      <c r="D39" s="10"/>
      <c r="E39" s="10"/>
      <c r="F39" s="9">
        <f t="shared" si="0"/>
        <v>0</v>
      </c>
    </row>
    <row r="40" spans="2:6" x14ac:dyDescent="0.25">
      <c r="B40" t="str">
        <f>IFERROR(VLOOKUP(A40,EMPLOYEES!A:B,2,FALSE),"")</f>
        <v/>
      </c>
      <c r="D40" s="10"/>
      <c r="E40" s="10"/>
      <c r="F40" s="9">
        <f t="shared" si="0"/>
        <v>0</v>
      </c>
    </row>
    <row r="41" spans="2:6" x14ac:dyDescent="0.25">
      <c r="B41" t="str">
        <f>IFERROR(VLOOKUP(A41,EMPLOYEES!A:B,2,FALSE),"")</f>
        <v/>
      </c>
      <c r="D41" s="10"/>
      <c r="E41" s="10"/>
      <c r="F41" s="9">
        <f t="shared" si="0"/>
        <v>0</v>
      </c>
    </row>
    <row r="42" spans="2:6" x14ac:dyDescent="0.25">
      <c r="B42" t="str">
        <f>IFERROR(VLOOKUP(A42,EMPLOYEES!A:B,2,FALSE),"")</f>
        <v/>
      </c>
      <c r="D42" s="10"/>
      <c r="E42" s="10"/>
      <c r="F42" s="9">
        <f t="shared" si="0"/>
        <v>0</v>
      </c>
    </row>
    <row r="43" spans="2:6" x14ac:dyDescent="0.25">
      <c r="B43" t="str">
        <f>IFERROR(VLOOKUP(A43,EMPLOYEES!A:B,2,FALSE),"")</f>
        <v/>
      </c>
      <c r="D43" s="10"/>
      <c r="E43" s="10"/>
      <c r="F43" s="9">
        <f t="shared" si="0"/>
        <v>0</v>
      </c>
    </row>
    <row r="44" spans="2:6" x14ac:dyDescent="0.25">
      <c r="B44" t="str">
        <f>IFERROR(VLOOKUP(A44,EMPLOYEES!A:B,2,FALSE),"")</f>
        <v/>
      </c>
      <c r="D44" s="10"/>
      <c r="E44" s="10"/>
      <c r="F44" s="9">
        <f t="shared" si="0"/>
        <v>0</v>
      </c>
    </row>
    <row r="45" spans="2:6" x14ac:dyDescent="0.25">
      <c r="B45" t="str">
        <f>IFERROR(VLOOKUP(A45,EMPLOYEES!A:B,2,FALSE),"")</f>
        <v/>
      </c>
      <c r="D45" s="10"/>
      <c r="E45" s="10"/>
      <c r="F45" s="9">
        <f t="shared" si="0"/>
        <v>0</v>
      </c>
    </row>
    <row r="46" spans="2:6" x14ac:dyDescent="0.25">
      <c r="B46" t="str">
        <f>IFERROR(VLOOKUP(A46,EMPLOYEES!A:B,2,FALSE),"")</f>
        <v/>
      </c>
      <c r="D46" s="10"/>
      <c r="E46" s="10"/>
      <c r="F46" s="9">
        <f t="shared" si="0"/>
        <v>0</v>
      </c>
    </row>
    <row r="47" spans="2:6" x14ac:dyDescent="0.25">
      <c r="B47" t="str">
        <f>IFERROR(VLOOKUP(A47,EMPLOYEES!A:B,2,FALSE),"")</f>
        <v/>
      </c>
      <c r="D47" s="10"/>
      <c r="E47" s="10"/>
      <c r="F47" s="9">
        <f t="shared" si="0"/>
        <v>0</v>
      </c>
    </row>
    <row r="48" spans="2:6" x14ac:dyDescent="0.25">
      <c r="B48" t="str">
        <f>IFERROR(VLOOKUP(A48,EMPLOYEES!A:B,2,FALSE),"")</f>
        <v/>
      </c>
      <c r="D48" s="10"/>
      <c r="E48" s="10"/>
      <c r="F48" s="9">
        <f t="shared" si="0"/>
        <v>0</v>
      </c>
    </row>
    <row r="49" spans="2:6" x14ac:dyDescent="0.25">
      <c r="B49" t="str">
        <f>IFERROR(VLOOKUP(A49,EMPLOYEES!A:B,2,FALSE),"")</f>
        <v/>
      </c>
      <c r="D49" s="10"/>
      <c r="E49" s="10"/>
      <c r="F49" s="9">
        <f t="shared" si="0"/>
        <v>0</v>
      </c>
    </row>
    <row r="50" spans="2:6" x14ac:dyDescent="0.25">
      <c r="B50" t="str">
        <f>IFERROR(VLOOKUP(A50,EMPLOYEES!A:B,2,FALSE),"")</f>
        <v/>
      </c>
      <c r="D50" s="10"/>
      <c r="E50" s="10"/>
      <c r="F50" s="9">
        <f t="shared" si="0"/>
        <v>0</v>
      </c>
    </row>
    <row r="51" spans="2:6" x14ac:dyDescent="0.25">
      <c r="B51" t="str">
        <f>IFERROR(VLOOKUP(A51,EMPLOYEES!A:B,2,FALSE),"")</f>
        <v/>
      </c>
      <c r="D51" s="10"/>
      <c r="E51" s="10"/>
      <c r="F51" s="9">
        <f t="shared" si="0"/>
        <v>0</v>
      </c>
    </row>
    <row r="52" spans="2:6" x14ac:dyDescent="0.25">
      <c r="B52" t="str">
        <f>IFERROR(VLOOKUP(A52,EMPLOYEES!A:B,2,FALSE),"")</f>
        <v/>
      </c>
      <c r="D52" s="10"/>
      <c r="E52" s="10"/>
      <c r="F52" s="9">
        <f t="shared" si="0"/>
        <v>0</v>
      </c>
    </row>
    <row r="53" spans="2:6" x14ac:dyDescent="0.25">
      <c r="B53" t="str">
        <f>IFERROR(VLOOKUP(A53,EMPLOYEES!A:B,2,FALSE),"")</f>
        <v/>
      </c>
      <c r="D53" s="10"/>
      <c r="E53" s="10"/>
      <c r="F53" s="9">
        <f t="shared" si="0"/>
        <v>0</v>
      </c>
    </row>
    <row r="54" spans="2:6" x14ac:dyDescent="0.25">
      <c r="B54" t="str">
        <f>IFERROR(VLOOKUP(A54,EMPLOYEES!A:B,2,FALSE),"")</f>
        <v/>
      </c>
      <c r="D54" s="10"/>
      <c r="E54" s="10"/>
      <c r="F54" s="9">
        <f t="shared" si="0"/>
        <v>0</v>
      </c>
    </row>
    <row r="55" spans="2:6" x14ac:dyDescent="0.25">
      <c r="B55" t="str">
        <f>IFERROR(VLOOKUP(A55,EMPLOYEES!A:B,2,FALSE),"")</f>
        <v/>
      </c>
      <c r="D55" s="10"/>
      <c r="E55" s="10"/>
      <c r="F55" s="9">
        <f t="shared" si="0"/>
        <v>0</v>
      </c>
    </row>
    <row r="56" spans="2:6" x14ac:dyDescent="0.25">
      <c r="B56" t="str">
        <f>IFERROR(VLOOKUP(A56,EMPLOYEES!A:B,2,FALSE),"")</f>
        <v/>
      </c>
      <c r="D56" s="10"/>
      <c r="E56" s="10"/>
    </row>
    <row r="57" spans="2:6" x14ac:dyDescent="0.25">
      <c r="B57" t="str">
        <f>IFERROR(VLOOKUP(A57,EMPLOYEES!A:B,2,FALSE),"")</f>
        <v/>
      </c>
      <c r="D57" s="10"/>
      <c r="E57" s="10"/>
    </row>
    <row r="58" spans="2:6" x14ac:dyDescent="0.25">
      <c r="D58" s="10"/>
      <c r="E58" s="10"/>
    </row>
    <row r="59" spans="2:6" x14ac:dyDescent="0.25">
      <c r="D59" s="10"/>
      <c r="E59" s="10"/>
    </row>
    <row r="60" spans="2:6" x14ac:dyDescent="0.25">
      <c r="D60" s="10"/>
      <c r="E60" s="10"/>
    </row>
    <row r="61" spans="2:6" x14ac:dyDescent="0.25">
      <c r="D61" s="10"/>
      <c r="E61" s="10"/>
    </row>
    <row r="62" spans="2:6" x14ac:dyDescent="0.25">
      <c r="D62" s="10"/>
      <c r="E62" s="10"/>
    </row>
    <row r="63" spans="2:6" x14ac:dyDescent="0.25">
      <c r="D63" s="10"/>
      <c r="E63" s="10"/>
    </row>
    <row r="64" spans="2:6" x14ac:dyDescent="0.25">
      <c r="D64" s="10"/>
      <c r="E64" s="10"/>
    </row>
    <row r="65" spans="4:5" x14ac:dyDescent="0.25">
      <c r="D65" s="10"/>
      <c r="E65" s="10"/>
    </row>
    <row r="66" spans="4:5" x14ac:dyDescent="0.25">
      <c r="D66" s="10"/>
      <c r="E66" s="10"/>
    </row>
    <row r="67" spans="4:5" x14ac:dyDescent="0.25">
      <c r="D67" s="10"/>
      <c r="E67" s="10"/>
    </row>
    <row r="68" spans="4:5" x14ac:dyDescent="0.25">
      <c r="D68" s="10"/>
      <c r="E68" s="10"/>
    </row>
    <row r="69" spans="4:5" x14ac:dyDescent="0.25">
      <c r="D69" s="10"/>
      <c r="E69" s="10"/>
    </row>
    <row r="70" spans="4:5" x14ac:dyDescent="0.25">
      <c r="D70" s="10"/>
      <c r="E70" s="10"/>
    </row>
    <row r="71" spans="4:5" x14ac:dyDescent="0.25">
      <c r="D71" s="10"/>
      <c r="E71" s="10"/>
    </row>
    <row r="72" spans="4:5" x14ac:dyDescent="0.25">
      <c r="D72" s="10"/>
      <c r="E72" s="10"/>
    </row>
    <row r="73" spans="4:5" x14ac:dyDescent="0.25">
      <c r="D73" s="10"/>
      <c r="E73" s="10"/>
    </row>
    <row r="74" spans="4:5" x14ac:dyDescent="0.25">
      <c r="D74" s="10"/>
      <c r="E74" s="10"/>
    </row>
    <row r="75" spans="4:5" x14ac:dyDescent="0.25">
      <c r="D75" s="10"/>
      <c r="E75" s="10"/>
    </row>
    <row r="76" spans="4:5" x14ac:dyDescent="0.25">
      <c r="D76" s="10"/>
      <c r="E76" s="10"/>
    </row>
    <row r="77" spans="4:5" x14ac:dyDescent="0.25">
      <c r="D77" s="10"/>
      <c r="E77" s="10"/>
    </row>
    <row r="78" spans="4:5" x14ac:dyDescent="0.25">
      <c r="D78" s="10"/>
      <c r="E78" s="10"/>
    </row>
    <row r="79" spans="4:5" x14ac:dyDescent="0.25">
      <c r="D79" s="10"/>
      <c r="E79" s="10"/>
    </row>
    <row r="80" spans="4:5" x14ac:dyDescent="0.25">
      <c r="D80" s="10"/>
      <c r="E80" s="10"/>
    </row>
    <row r="81" spans="4:5" x14ac:dyDescent="0.25">
      <c r="D81" s="10"/>
      <c r="E81" s="10"/>
    </row>
    <row r="82" spans="4:5" x14ac:dyDescent="0.25">
      <c r="D82" s="10"/>
      <c r="E82" s="10"/>
    </row>
    <row r="83" spans="4:5" x14ac:dyDescent="0.25">
      <c r="D83" s="10"/>
      <c r="E83" s="10"/>
    </row>
    <row r="84" spans="4:5" x14ac:dyDescent="0.25">
      <c r="D84" s="10"/>
      <c r="E84" s="10"/>
    </row>
    <row r="85" spans="4:5" x14ac:dyDescent="0.25">
      <c r="D85" s="10"/>
      <c r="E85" s="10"/>
    </row>
    <row r="86" spans="4:5" x14ac:dyDescent="0.25">
      <c r="D86" s="10"/>
      <c r="E86" s="10"/>
    </row>
    <row r="87" spans="4:5" x14ac:dyDescent="0.25">
      <c r="D87" s="10"/>
      <c r="E87" s="10"/>
    </row>
    <row r="88" spans="4:5" x14ac:dyDescent="0.25">
      <c r="D88" s="10"/>
      <c r="E88" s="10"/>
    </row>
    <row r="89" spans="4:5" x14ac:dyDescent="0.25">
      <c r="D89" s="10"/>
      <c r="E89" s="10"/>
    </row>
    <row r="90" spans="4:5" x14ac:dyDescent="0.25">
      <c r="D90" s="10"/>
      <c r="E90" s="10"/>
    </row>
    <row r="91" spans="4:5" x14ac:dyDescent="0.25">
      <c r="D91" s="10"/>
      <c r="E91" s="10"/>
    </row>
    <row r="92" spans="4:5" x14ac:dyDescent="0.25">
      <c r="D92" s="10"/>
      <c r="E92" s="10"/>
    </row>
    <row r="93" spans="4:5" x14ac:dyDescent="0.25">
      <c r="D93" s="10"/>
      <c r="E93" s="10"/>
    </row>
    <row r="94" spans="4:5" x14ac:dyDescent="0.25">
      <c r="D94" s="10"/>
      <c r="E94" s="10"/>
    </row>
    <row r="95" spans="4:5" x14ac:dyDescent="0.25">
      <c r="D95" s="10"/>
      <c r="E95" s="10"/>
    </row>
    <row r="96" spans="4:5" x14ac:dyDescent="0.25">
      <c r="D96" s="10"/>
      <c r="E96" s="10"/>
    </row>
    <row r="97" spans="4:5" x14ac:dyDescent="0.25">
      <c r="D97" s="10"/>
      <c r="E97" s="10"/>
    </row>
    <row r="98" spans="4:5" x14ac:dyDescent="0.25">
      <c r="D98" s="10"/>
      <c r="E98" s="10"/>
    </row>
    <row r="99" spans="4:5" x14ac:dyDescent="0.25">
      <c r="D99" s="10"/>
      <c r="E99" s="10"/>
    </row>
    <row r="100" spans="4:5" x14ac:dyDescent="0.25">
      <c r="D100" s="10"/>
      <c r="E100" s="10"/>
    </row>
    <row r="101" spans="4:5" x14ac:dyDescent="0.25">
      <c r="D101" s="10"/>
      <c r="E101" s="10"/>
    </row>
    <row r="102" spans="4:5" x14ac:dyDescent="0.25">
      <c r="D102" s="10"/>
      <c r="E102" s="10"/>
    </row>
    <row r="103" spans="4:5" x14ac:dyDescent="0.25">
      <c r="D103" s="10"/>
      <c r="E103" s="10"/>
    </row>
    <row r="104" spans="4:5" x14ac:dyDescent="0.25">
      <c r="D104" s="10"/>
      <c r="E104" s="10"/>
    </row>
    <row r="105" spans="4:5" x14ac:dyDescent="0.25">
      <c r="D105" s="10"/>
      <c r="E105" s="10"/>
    </row>
    <row r="106" spans="4:5" x14ac:dyDescent="0.25">
      <c r="D106" s="10"/>
      <c r="E106" s="10"/>
    </row>
    <row r="107" spans="4:5" x14ac:dyDescent="0.25">
      <c r="D107" s="10"/>
      <c r="E107" s="10"/>
    </row>
    <row r="108" spans="4:5" x14ac:dyDescent="0.25">
      <c r="D108" s="10"/>
      <c r="E108" s="10"/>
    </row>
    <row r="109" spans="4:5" x14ac:dyDescent="0.25">
      <c r="D109" s="10"/>
      <c r="E109" s="10"/>
    </row>
    <row r="110" spans="4:5" x14ac:dyDescent="0.25">
      <c r="D110" s="10"/>
      <c r="E110" s="10"/>
    </row>
    <row r="111" spans="4:5" x14ac:dyDescent="0.25">
      <c r="D111" s="10"/>
      <c r="E111" s="10"/>
    </row>
    <row r="112" spans="4:5" x14ac:dyDescent="0.25">
      <c r="D112" s="10"/>
      <c r="E112" s="10"/>
    </row>
    <row r="113" spans="4:5" x14ac:dyDescent="0.25">
      <c r="D113" s="10"/>
      <c r="E113" s="10"/>
    </row>
    <row r="114" spans="4:5" x14ac:dyDescent="0.25">
      <c r="D114" s="10"/>
      <c r="E114" s="10"/>
    </row>
    <row r="115" spans="4:5" x14ac:dyDescent="0.25">
      <c r="D115" s="10"/>
      <c r="E115" s="10"/>
    </row>
    <row r="116" spans="4:5" x14ac:dyDescent="0.25">
      <c r="D116" s="10"/>
      <c r="E116" s="10"/>
    </row>
    <row r="117" spans="4:5" x14ac:dyDescent="0.25">
      <c r="D117" s="10"/>
      <c r="E117" s="10"/>
    </row>
    <row r="118" spans="4:5" x14ac:dyDescent="0.25">
      <c r="D118" s="10"/>
      <c r="E118" s="10"/>
    </row>
    <row r="119" spans="4:5" x14ac:dyDescent="0.25">
      <c r="D119" s="10"/>
      <c r="E119" s="10"/>
    </row>
    <row r="120" spans="4:5" x14ac:dyDescent="0.25">
      <c r="D120" s="10"/>
      <c r="E120" s="10"/>
    </row>
    <row r="121" spans="4:5" x14ac:dyDescent="0.25">
      <c r="D121" s="10"/>
      <c r="E121" s="10"/>
    </row>
    <row r="122" spans="4:5" x14ac:dyDescent="0.25">
      <c r="D122" s="10"/>
      <c r="E122" s="10"/>
    </row>
    <row r="123" spans="4:5" x14ac:dyDescent="0.25">
      <c r="D123" s="10"/>
      <c r="E123" s="10"/>
    </row>
    <row r="124" spans="4:5" x14ac:dyDescent="0.25">
      <c r="D124" s="10"/>
      <c r="E124" s="10"/>
    </row>
    <row r="125" spans="4:5" x14ac:dyDescent="0.25">
      <c r="D125" s="10"/>
      <c r="E125" s="10"/>
    </row>
    <row r="126" spans="4:5" x14ac:dyDescent="0.25">
      <c r="D126" s="10"/>
      <c r="E126" s="10"/>
    </row>
    <row r="127" spans="4:5" x14ac:dyDescent="0.25">
      <c r="D127" s="10"/>
      <c r="E127" s="10"/>
    </row>
    <row r="128" spans="4:5" x14ac:dyDescent="0.25">
      <c r="D128" s="10"/>
      <c r="E128" s="10"/>
    </row>
    <row r="129" spans="4:5" x14ac:dyDescent="0.25">
      <c r="D129" s="10"/>
      <c r="E129" s="10"/>
    </row>
    <row r="130" spans="4:5" x14ac:dyDescent="0.25">
      <c r="D130" s="10"/>
      <c r="E130" s="10"/>
    </row>
    <row r="131" spans="4:5" x14ac:dyDescent="0.25">
      <c r="D131" s="10"/>
      <c r="E131" s="10"/>
    </row>
    <row r="132" spans="4:5" x14ac:dyDescent="0.25">
      <c r="D132" s="10"/>
      <c r="E132" s="10"/>
    </row>
    <row r="133" spans="4:5" x14ac:dyDescent="0.25">
      <c r="D133" s="10"/>
      <c r="E133" s="10"/>
    </row>
    <row r="134" spans="4:5" x14ac:dyDescent="0.25">
      <c r="D134" s="10"/>
      <c r="E134" s="10"/>
    </row>
    <row r="135" spans="4:5" x14ac:dyDescent="0.25">
      <c r="D135" s="10"/>
      <c r="E135" s="10"/>
    </row>
    <row r="136" spans="4:5" x14ac:dyDescent="0.25">
      <c r="D136" s="10"/>
      <c r="E136" s="10"/>
    </row>
    <row r="137" spans="4:5" x14ac:dyDescent="0.25">
      <c r="D137" s="10"/>
      <c r="E137" s="10"/>
    </row>
    <row r="138" spans="4:5" x14ac:dyDescent="0.25">
      <c r="D138" s="10"/>
      <c r="E138" s="10"/>
    </row>
    <row r="139" spans="4:5" x14ac:dyDescent="0.25">
      <c r="D139" s="10"/>
      <c r="E139" s="10"/>
    </row>
    <row r="140" spans="4:5" x14ac:dyDescent="0.25">
      <c r="D140" s="10"/>
      <c r="E140" s="10"/>
    </row>
    <row r="141" spans="4:5" x14ac:dyDescent="0.25">
      <c r="D141" s="10"/>
      <c r="E141" s="10"/>
    </row>
    <row r="142" spans="4:5" x14ac:dyDescent="0.25">
      <c r="D142" s="10"/>
      <c r="E142" s="10"/>
    </row>
    <row r="143" spans="4:5" x14ac:dyDescent="0.25">
      <c r="D143" s="10"/>
    </row>
    <row r="144" spans="4:5" x14ac:dyDescent="0.25">
      <c r="D144" s="10"/>
    </row>
    <row r="145" spans="4:4" x14ac:dyDescent="0.25">
      <c r="D145" s="10"/>
    </row>
    <row r="146" spans="4:4" x14ac:dyDescent="0.25">
      <c r="D146" s="10"/>
    </row>
    <row r="147" spans="4:4" x14ac:dyDescent="0.25">
      <c r="D147" s="10"/>
    </row>
    <row r="148" spans="4:4" x14ac:dyDescent="0.25">
      <c r="D148" s="10"/>
    </row>
    <row r="149" spans="4:4" x14ac:dyDescent="0.25">
      <c r="D149" s="10"/>
    </row>
    <row r="150" spans="4:4" x14ac:dyDescent="0.25">
      <c r="D150" s="10"/>
    </row>
    <row r="151" spans="4:4" x14ac:dyDescent="0.25">
      <c r="D151" s="10"/>
    </row>
    <row r="152" spans="4:4" x14ac:dyDescent="0.25">
      <c r="D152" s="10"/>
    </row>
    <row r="153" spans="4:4" x14ac:dyDescent="0.25">
      <c r="D153" s="10"/>
    </row>
    <row r="154" spans="4:4" x14ac:dyDescent="0.25">
      <c r="D154" s="10"/>
    </row>
    <row r="155" spans="4:4" x14ac:dyDescent="0.25">
      <c r="D155" s="10"/>
    </row>
    <row r="156" spans="4:4" x14ac:dyDescent="0.25">
      <c r="D156" s="10"/>
    </row>
    <row r="157" spans="4:4" x14ac:dyDescent="0.25">
      <c r="D157" s="10"/>
    </row>
    <row r="158" spans="4:4" x14ac:dyDescent="0.25">
      <c r="D158" s="10"/>
    </row>
    <row r="159" spans="4:4" x14ac:dyDescent="0.25">
      <c r="D159" s="10"/>
    </row>
    <row r="160" spans="4:4" x14ac:dyDescent="0.25">
      <c r="D160" s="10"/>
    </row>
    <row r="161" spans="4:4" x14ac:dyDescent="0.25">
      <c r="D161" s="10"/>
    </row>
    <row r="162" spans="4:4" x14ac:dyDescent="0.25">
      <c r="D162" s="10"/>
    </row>
    <row r="163" spans="4:4" x14ac:dyDescent="0.25">
      <c r="D163" s="10"/>
    </row>
    <row r="164" spans="4:4" x14ac:dyDescent="0.25">
      <c r="D164" s="10"/>
    </row>
    <row r="165" spans="4:4" x14ac:dyDescent="0.25">
      <c r="D165" s="10"/>
    </row>
    <row r="166" spans="4:4" x14ac:dyDescent="0.25">
      <c r="D166" s="10"/>
    </row>
    <row r="167" spans="4:4" x14ac:dyDescent="0.25">
      <c r="D167" s="10"/>
    </row>
    <row r="168" spans="4:4" x14ac:dyDescent="0.25">
      <c r="D168" s="10"/>
    </row>
    <row r="169" spans="4:4" x14ac:dyDescent="0.25">
      <c r="D169" s="10"/>
    </row>
    <row r="170" spans="4:4" x14ac:dyDescent="0.25">
      <c r="D170" s="10"/>
    </row>
    <row r="171" spans="4:4" x14ac:dyDescent="0.25">
      <c r="D171" s="10"/>
    </row>
    <row r="172" spans="4:4" x14ac:dyDescent="0.25">
      <c r="D172" s="10"/>
    </row>
    <row r="173" spans="4:4" x14ac:dyDescent="0.25">
      <c r="D173" s="10"/>
    </row>
    <row r="174" spans="4:4" x14ac:dyDescent="0.25">
      <c r="D174" s="10"/>
    </row>
    <row r="175" spans="4:4" x14ac:dyDescent="0.25">
      <c r="D175" s="10"/>
    </row>
    <row r="176" spans="4:4" x14ac:dyDescent="0.25">
      <c r="D176" s="10"/>
    </row>
    <row r="177" spans="4:4" x14ac:dyDescent="0.25">
      <c r="D177" s="10"/>
    </row>
    <row r="178" spans="4:4" x14ac:dyDescent="0.25">
      <c r="D178" s="10"/>
    </row>
    <row r="179" spans="4:4" x14ac:dyDescent="0.25">
      <c r="D179" s="10"/>
    </row>
    <row r="180" spans="4:4" x14ac:dyDescent="0.25">
      <c r="D180" s="10"/>
    </row>
    <row r="181" spans="4:4" x14ac:dyDescent="0.25">
      <c r="D181" s="10"/>
    </row>
    <row r="182" spans="4:4" x14ac:dyDescent="0.25">
      <c r="D182" s="10"/>
    </row>
    <row r="183" spans="4:4" x14ac:dyDescent="0.25">
      <c r="D183" s="10"/>
    </row>
    <row r="184" spans="4:4" x14ac:dyDescent="0.25">
      <c r="D184" s="10"/>
    </row>
    <row r="185" spans="4:4" x14ac:dyDescent="0.25">
      <c r="D185" s="10"/>
    </row>
    <row r="186" spans="4:4" x14ac:dyDescent="0.25">
      <c r="D186" s="10"/>
    </row>
    <row r="187" spans="4:4" x14ac:dyDescent="0.25">
      <c r="D187" s="10"/>
    </row>
    <row r="188" spans="4:4" x14ac:dyDescent="0.25">
      <c r="D188" s="10"/>
    </row>
    <row r="189" spans="4:4" x14ac:dyDescent="0.25">
      <c r="D189" s="10"/>
    </row>
    <row r="190" spans="4:4" x14ac:dyDescent="0.25">
      <c r="D190" s="10"/>
    </row>
    <row r="191" spans="4:4" x14ac:dyDescent="0.25">
      <c r="D191" s="10"/>
    </row>
    <row r="192" spans="4:4" x14ac:dyDescent="0.25">
      <c r="D192" s="10"/>
    </row>
    <row r="193" spans="4:4" x14ac:dyDescent="0.25">
      <c r="D193" s="10"/>
    </row>
    <row r="194" spans="4:4" x14ac:dyDescent="0.25">
      <c r="D194" s="10"/>
    </row>
    <row r="195" spans="4:4" x14ac:dyDescent="0.25">
      <c r="D195" s="10"/>
    </row>
    <row r="196" spans="4:4" x14ac:dyDescent="0.25">
      <c r="D196" s="10"/>
    </row>
    <row r="197" spans="4:4" x14ac:dyDescent="0.25">
      <c r="D197" s="10"/>
    </row>
    <row r="198" spans="4:4" x14ac:dyDescent="0.25">
      <c r="D198" s="10"/>
    </row>
    <row r="199" spans="4:4" x14ac:dyDescent="0.25">
      <c r="D199" s="10"/>
    </row>
    <row r="200" spans="4:4" x14ac:dyDescent="0.25">
      <c r="D200" s="10"/>
    </row>
    <row r="201" spans="4:4" x14ac:dyDescent="0.25">
      <c r="D201" s="10"/>
    </row>
    <row r="202" spans="4:4" x14ac:dyDescent="0.25">
      <c r="D202" s="10"/>
    </row>
    <row r="203" spans="4:4" x14ac:dyDescent="0.25">
      <c r="D203" s="10"/>
    </row>
    <row r="204" spans="4:4" x14ac:dyDescent="0.25">
      <c r="D204" s="10"/>
    </row>
    <row r="205" spans="4:4" x14ac:dyDescent="0.25">
      <c r="D205" s="10"/>
    </row>
    <row r="206" spans="4:4" x14ac:dyDescent="0.25">
      <c r="D206" s="10"/>
    </row>
    <row r="207" spans="4:4" x14ac:dyDescent="0.25">
      <c r="D207" s="10"/>
    </row>
    <row r="208" spans="4:4" x14ac:dyDescent="0.25">
      <c r="D208" s="10"/>
    </row>
    <row r="209" spans="4:4" x14ac:dyDescent="0.25">
      <c r="D209" s="10"/>
    </row>
    <row r="210" spans="4:4" x14ac:dyDescent="0.25">
      <c r="D210" s="10"/>
    </row>
    <row r="211" spans="4:4" x14ac:dyDescent="0.25">
      <c r="D211" s="10"/>
    </row>
    <row r="212" spans="4:4" x14ac:dyDescent="0.25">
      <c r="D212" s="10"/>
    </row>
    <row r="213" spans="4:4" x14ac:dyDescent="0.25">
      <c r="D213" s="10"/>
    </row>
    <row r="214" spans="4:4" x14ac:dyDescent="0.25">
      <c r="D214" s="10"/>
    </row>
    <row r="215" spans="4:4" x14ac:dyDescent="0.25">
      <c r="D215" s="10"/>
    </row>
    <row r="216" spans="4:4" x14ac:dyDescent="0.25">
      <c r="D216" s="10"/>
    </row>
    <row r="217" spans="4:4" x14ac:dyDescent="0.25">
      <c r="D217" s="10"/>
    </row>
    <row r="218" spans="4:4" x14ac:dyDescent="0.25">
      <c r="D218" s="10"/>
    </row>
    <row r="219" spans="4:4" x14ac:dyDescent="0.25">
      <c r="D219" s="10"/>
    </row>
    <row r="220" spans="4:4" x14ac:dyDescent="0.25">
      <c r="D220" s="10"/>
    </row>
    <row r="221" spans="4:4" x14ac:dyDescent="0.25">
      <c r="D221" s="10"/>
    </row>
    <row r="222" spans="4:4" x14ac:dyDescent="0.25">
      <c r="D222" s="10"/>
    </row>
    <row r="223" spans="4:4" x14ac:dyDescent="0.25">
      <c r="D223" s="10"/>
    </row>
    <row r="224" spans="4:4" x14ac:dyDescent="0.25">
      <c r="D224" s="10"/>
    </row>
    <row r="225" spans="4:4" x14ac:dyDescent="0.25">
      <c r="D225" s="10"/>
    </row>
    <row r="226" spans="4:4" x14ac:dyDescent="0.25">
      <c r="D226" s="10"/>
    </row>
    <row r="227" spans="4:4" x14ac:dyDescent="0.25">
      <c r="D227" s="10"/>
    </row>
    <row r="228" spans="4:4" x14ac:dyDescent="0.25">
      <c r="D228" s="10"/>
    </row>
    <row r="229" spans="4:4" x14ac:dyDescent="0.25">
      <c r="D229" s="10"/>
    </row>
    <row r="230" spans="4:4" x14ac:dyDescent="0.25">
      <c r="D230" s="10"/>
    </row>
    <row r="231" spans="4:4" x14ac:dyDescent="0.25">
      <c r="D231" s="10"/>
    </row>
    <row r="232" spans="4:4" x14ac:dyDescent="0.25">
      <c r="D232" s="10"/>
    </row>
    <row r="233" spans="4:4" x14ac:dyDescent="0.25">
      <c r="D233" s="10"/>
    </row>
    <row r="234" spans="4:4" x14ac:dyDescent="0.25">
      <c r="D234" s="10"/>
    </row>
    <row r="235" spans="4:4" x14ac:dyDescent="0.25">
      <c r="D235" s="10"/>
    </row>
    <row r="236" spans="4:4" x14ac:dyDescent="0.25">
      <c r="D236" s="10"/>
    </row>
    <row r="237" spans="4:4" x14ac:dyDescent="0.25">
      <c r="D237" s="10"/>
    </row>
    <row r="238" spans="4:4" x14ac:dyDescent="0.25">
      <c r="D238" s="10"/>
    </row>
    <row r="239" spans="4:4" x14ac:dyDescent="0.25">
      <c r="D239" s="10"/>
    </row>
    <row r="240" spans="4:4" x14ac:dyDescent="0.25">
      <c r="D240" s="10"/>
    </row>
    <row r="241" spans="4:4" x14ac:dyDescent="0.25">
      <c r="D241" s="10"/>
    </row>
    <row r="242" spans="4:4" x14ac:dyDescent="0.25">
      <c r="D242" s="10"/>
    </row>
    <row r="243" spans="4:4" x14ac:dyDescent="0.25">
      <c r="D243" s="10"/>
    </row>
    <row r="244" spans="4:4" x14ac:dyDescent="0.25">
      <c r="D244" s="10"/>
    </row>
    <row r="245" spans="4:4" x14ac:dyDescent="0.25">
      <c r="D245" s="10"/>
    </row>
    <row r="246" spans="4:4" x14ac:dyDescent="0.25">
      <c r="D246" s="10"/>
    </row>
    <row r="247" spans="4:4" x14ac:dyDescent="0.25">
      <c r="D247" s="10"/>
    </row>
    <row r="248" spans="4:4" x14ac:dyDescent="0.25">
      <c r="D248" s="10"/>
    </row>
    <row r="249" spans="4:4" x14ac:dyDescent="0.25">
      <c r="D249" s="10"/>
    </row>
    <row r="250" spans="4:4" x14ac:dyDescent="0.25">
      <c r="D250" s="10"/>
    </row>
    <row r="251" spans="4:4" x14ac:dyDescent="0.25">
      <c r="D251" s="10"/>
    </row>
    <row r="252" spans="4:4" x14ac:dyDescent="0.25">
      <c r="D252" s="10"/>
    </row>
    <row r="253" spans="4:4" x14ac:dyDescent="0.25">
      <c r="D253" s="10"/>
    </row>
    <row r="254" spans="4:4" x14ac:dyDescent="0.25">
      <c r="D254" s="10"/>
    </row>
    <row r="255" spans="4:4" x14ac:dyDescent="0.25">
      <c r="D255" s="10"/>
    </row>
    <row r="256" spans="4:4" x14ac:dyDescent="0.25">
      <c r="D256" s="10"/>
    </row>
    <row r="257" spans="4:4" x14ac:dyDescent="0.25">
      <c r="D257" s="10"/>
    </row>
    <row r="258" spans="4:4" x14ac:dyDescent="0.25">
      <c r="D258" s="10"/>
    </row>
    <row r="259" spans="4:4" x14ac:dyDescent="0.25">
      <c r="D259" s="10"/>
    </row>
    <row r="260" spans="4:4" x14ac:dyDescent="0.25">
      <c r="D260" s="10"/>
    </row>
    <row r="261" spans="4:4" x14ac:dyDescent="0.25">
      <c r="D261" s="10"/>
    </row>
    <row r="262" spans="4:4" x14ac:dyDescent="0.25">
      <c r="D262" s="10"/>
    </row>
    <row r="263" spans="4:4" x14ac:dyDescent="0.25">
      <c r="D263" s="10"/>
    </row>
    <row r="264" spans="4:4" x14ac:dyDescent="0.25">
      <c r="D264" s="10"/>
    </row>
    <row r="265" spans="4:4" x14ac:dyDescent="0.25">
      <c r="D265" s="10"/>
    </row>
    <row r="266" spans="4:4" x14ac:dyDescent="0.25">
      <c r="D266" s="10"/>
    </row>
    <row r="267" spans="4:4" x14ac:dyDescent="0.25">
      <c r="D267" s="10"/>
    </row>
    <row r="268" spans="4:4" x14ac:dyDescent="0.25">
      <c r="D268" s="10"/>
    </row>
    <row r="269" spans="4:4" x14ac:dyDescent="0.25">
      <c r="D269" s="10"/>
    </row>
    <row r="270" spans="4:4" x14ac:dyDescent="0.25">
      <c r="D270" s="10"/>
    </row>
    <row r="271" spans="4:4" x14ac:dyDescent="0.25">
      <c r="D271" s="10"/>
    </row>
    <row r="272" spans="4:4" x14ac:dyDescent="0.25">
      <c r="D272" s="10"/>
    </row>
    <row r="273" spans="4:4" x14ac:dyDescent="0.25">
      <c r="D273" s="10"/>
    </row>
    <row r="274" spans="4:4" x14ac:dyDescent="0.25">
      <c r="D274" s="10"/>
    </row>
    <row r="275" spans="4:4" x14ac:dyDescent="0.25">
      <c r="D275" s="10"/>
    </row>
    <row r="276" spans="4:4" x14ac:dyDescent="0.25">
      <c r="D276" s="10"/>
    </row>
    <row r="277" spans="4:4" x14ac:dyDescent="0.25">
      <c r="D277" s="10"/>
    </row>
    <row r="278" spans="4:4" x14ac:dyDescent="0.25">
      <c r="D278" s="10"/>
    </row>
    <row r="279" spans="4:4" x14ac:dyDescent="0.25">
      <c r="D279" s="10"/>
    </row>
    <row r="280" spans="4:4" x14ac:dyDescent="0.25">
      <c r="D280" s="10"/>
    </row>
    <row r="281" spans="4:4" x14ac:dyDescent="0.25">
      <c r="D281" s="10"/>
    </row>
    <row r="282" spans="4:4" x14ac:dyDescent="0.25">
      <c r="D282" s="10"/>
    </row>
    <row r="283" spans="4:4" x14ac:dyDescent="0.25">
      <c r="D283" s="10"/>
    </row>
    <row r="284" spans="4:4" x14ac:dyDescent="0.25">
      <c r="D284" s="10"/>
    </row>
    <row r="285" spans="4:4" x14ac:dyDescent="0.25">
      <c r="D285" s="10"/>
    </row>
    <row r="286" spans="4:4" x14ac:dyDescent="0.25">
      <c r="D286" s="10"/>
    </row>
    <row r="287" spans="4:4" x14ac:dyDescent="0.25">
      <c r="D287" s="10"/>
    </row>
    <row r="288" spans="4:4" x14ac:dyDescent="0.25">
      <c r="D288" s="10"/>
    </row>
    <row r="289" spans="4:4" x14ac:dyDescent="0.25">
      <c r="D289" s="10"/>
    </row>
    <row r="290" spans="4:4" x14ac:dyDescent="0.25">
      <c r="D290" s="10"/>
    </row>
    <row r="291" spans="4:4" x14ac:dyDescent="0.25">
      <c r="D291" s="10"/>
    </row>
    <row r="292" spans="4:4" x14ac:dyDescent="0.25">
      <c r="D292" s="10"/>
    </row>
    <row r="293" spans="4:4" x14ac:dyDescent="0.25">
      <c r="D293" s="10"/>
    </row>
    <row r="294" spans="4:4" x14ac:dyDescent="0.25">
      <c r="D294" s="10"/>
    </row>
    <row r="295" spans="4:4" x14ac:dyDescent="0.25">
      <c r="D295" s="10"/>
    </row>
    <row r="296" spans="4:4" x14ac:dyDescent="0.25">
      <c r="D296" s="10"/>
    </row>
    <row r="297" spans="4:4" x14ac:dyDescent="0.25">
      <c r="D297" s="10"/>
    </row>
    <row r="298" spans="4:4" x14ac:dyDescent="0.25">
      <c r="D298" s="10"/>
    </row>
    <row r="299" spans="4:4" x14ac:dyDescent="0.25">
      <c r="D299" s="10"/>
    </row>
    <row r="300" spans="4:4" x14ac:dyDescent="0.25">
      <c r="D300" s="10"/>
    </row>
    <row r="301" spans="4:4" x14ac:dyDescent="0.25">
      <c r="D301" s="10"/>
    </row>
    <row r="302" spans="4:4" x14ac:dyDescent="0.25">
      <c r="D302" s="10"/>
    </row>
    <row r="303" spans="4:4" x14ac:dyDescent="0.25">
      <c r="D303" s="10"/>
    </row>
    <row r="304" spans="4:4" x14ac:dyDescent="0.25">
      <c r="D304" s="10"/>
    </row>
    <row r="305" spans="4:4" x14ac:dyDescent="0.25">
      <c r="D305" s="10"/>
    </row>
    <row r="306" spans="4:4" x14ac:dyDescent="0.25">
      <c r="D306" s="10"/>
    </row>
    <row r="307" spans="4:4" x14ac:dyDescent="0.25">
      <c r="D307" s="10"/>
    </row>
    <row r="308" spans="4:4" x14ac:dyDescent="0.25">
      <c r="D308" s="10"/>
    </row>
    <row r="309" spans="4:4" x14ac:dyDescent="0.25">
      <c r="D309" s="10"/>
    </row>
    <row r="310" spans="4:4" x14ac:dyDescent="0.25">
      <c r="D310" s="10"/>
    </row>
    <row r="311" spans="4:4" x14ac:dyDescent="0.25">
      <c r="D311" s="10"/>
    </row>
    <row r="312" spans="4:4" x14ac:dyDescent="0.25">
      <c r="D312" s="10"/>
    </row>
    <row r="313" spans="4:4" x14ac:dyDescent="0.25">
      <c r="D313" s="10"/>
    </row>
    <row r="314" spans="4:4" x14ac:dyDescent="0.25">
      <c r="D314" s="10"/>
    </row>
    <row r="315" spans="4:4" x14ac:dyDescent="0.25">
      <c r="D315" s="10"/>
    </row>
    <row r="316" spans="4:4" x14ac:dyDescent="0.25">
      <c r="D316" s="10"/>
    </row>
    <row r="317" spans="4:4" x14ac:dyDescent="0.25">
      <c r="D317" s="10"/>
    </row>
    <row r="318" spans="4:4" x14ac:dyDescent="0.25">
      <c r="D318" s="10"/>
    </row>
    <row r="319" spans="4:4" x14ac:dyDescent="0.25">
      <c r="D319" s="10"/>
    </row>
    <row r="320" spans="4:4" x14ac:dyDescent="0.25">
      <c r="D320" s="10"/>
    </row>
    <row r="321" spans="4:4" x14ac:dyDescent="0.25">
      <c r="D321" s="10"/>
    </row>
    <row r="322" spans="4:4" x14ac:dyDescent="0.25">
      <c r="D322" s="10"/>
    </row>
    <row r="323" spans="4:4" x14ac:dyDescent="0.25">
      <c r="D323" s="10"/>
    </row>
    <row r="324" spans="4:4" x14ac:dyDescent="0.25">
      <c r="D324" s="10"/>
    </row>
    <row r="325" spans="4:4" x14ac:dyDescent="0.25">
      <c r="D325" s="10"/>
    </row>
    <row r="326" spans="4:4" x14ac:dyDescent="0.25">
      <c r="D326" s="10"/>
    </row>
    <row r="327" spans="4:4" x14ac:dyDescent="0.25">
      <c r="D327" s="10"/>
    </row>
    <row r="328" spans="4:4" x14ac:dyDescent="0.25">
      <c r="D328" s="10"/>
    </row>
    <row r="329" spans="4:4" x14ac:dyDescent="0.25">
      <c r="D329" s="10"/>
    </row>
    <row r="330" spans="4:4" x14ac:dyDescent="0.25">
      <c r="D330" s="10"/>
    </row>
    <row r="331" spans="4:4" x14ac:dyDescent="0.25">
      <c r="D331" s="10"/>
    </row>
    <row r="332" spans="4:4" x14ac:dyDescent="0.25">
      <c r="D332" s="10"/>
    </row>
    <row r="333" spans="4:4" x14ac:dyDescent="0.25">
      <c r="D333" s="10"/>
    </row>
    <row r="334" spans="4:4" x14ac:dyDescent="0.25">
      <c r="D334" s="10"/>
    </row>
    <row r="335" spans="4:4" x14ac:dyDescent="0.25">
      <c r="D335" s="10"/>
    </row>
    <row r="336" spans="4:4" x14ac:dyDescent="0.25">
      <c r="D336" s="10"/>
    </row>
    <row r="337" spans="4:4" x14ac:dyDescent="0.25">
      <c r="D337" s="10"/>
    </row>
    <row r="338" spans="4:4" x14ac:dyDescent="0.25">
      <c r="D338" s="10"/>
    </row>
    <row r="339" spans="4:4" x14ac:dyDescent="0.25">
      <c r="D339" s="10"/>
    </row>
    <row r="340" spans="4:4" x14ac:dyDescent="0.25">
      <c r="D340" s="10"/>
    </row>
    <row r="341" spans="4:4" x14ac:dyDescent="0.25">
      <c r="D341" s="10"/>
    </row>
    <row r="342" spans="4:4" x14ac:dyDescent="0.25">
      <c r="D342" s="10"/>
    </row>
    <row r="343" spans="4:4" x14ac:dyDescent="0.25">
      <c r="D343" s="10"/>
    </row>
    <row r="344" spans="4:4" x14ac:dyDescent="0.25">
      <c r="D344" s="10"/>
    </row>
    <row r="345" spans="4:4" x14ac:dyDescent="0.25">
      <c r="D345" s="10"/>
    </row>
    <row r="346" spans="4:4" x14ac:dyDescent="0.25">
      <c r="D346" s="10"/>
    </row>
    <row r="347" spans="4:4" x14ac:dyDescent="0.25">
      <c r="D347" s="10"/>
    </row>
    <row r="348" spans="4:4" x14ac:dyDescent="0.25">
      <c r="D348" s="10"/>
    </row>
    <row r="349" spans="4:4" x14ac:dyDescent="0.25">
      <c r="D349" s="10"/>
    </row>
    <row r="350" spans="4:4" x14ac:dyDescent="0.25">
      <c r="D350" s="10"/>
    </row>
    <row r="351" spans="4:4" x14ac:dyDescent="0.25">
      <c r="D351" s="10"/>
    </row>
    <row r="352" spans="4:4" x14ac:dyDescent="0.25">
      <c r="D352" s="10"/>
    </row>
    <row r="353" spans="4:4" x14ac:dyDescent="0.25">
      <c r="D353" s="10"/>
    </row>
    <row r="354" spans="4:4" x14ac:dyDescent="0.25">
      <c r="D354" s="10"/>
    </row>
    <row r="355" spans="4:4" x14ac:dyDescent="0.25">
      <c r="D355" s="10"/>
    </row>
    <row r="356" spans="4:4" x14ac:dyDescent="0.25">
      <c r="D356" s="10"/>
    </row>
    <row r="357" spans="4:4" x14ac:dyDescent="0.25">
      <c r="D357" s="10"/>
    </row>
    <row r="358" spans="4:4" x14ac:dyDescent="0.25">
      <c r="D358" s="10"/>
    </row>
    <row r="359" spans="4:4" x14ac:dyDescent="0.25">
      <c r="D359" s="10"/>
    </row>
    <row r="360" spans="4:4" x14ac:dyDescent="0.25">
      <c r="D360" s="10"/>
    </row>
    <row r="361" spans="4:4" x14ac:dyDescent="0.25">
      <c r="D361" s="10"/>
    </row>
    <row r="362" spans="4:4" x14ac:dyDescent="0.25">
      <c r="D362" s="10"/>
    </row>
    <row r="363" spans="4:4" x14ac:dyDescent="0.25">
      <c r="D363" s="10"/>
    </row>
    <row r="364" spans="4:4" x14ac:dyDescent="0.25">
      <c r="D364" s="10"/>
    </row>
    <row r="365" spans="4:4" x14ac:dyDescent="0.25">
      <c r="D365" s="10"/>
    </row>
    <row r="366" spans="4:4" x14ac:dyDescent="0.25">
      <c r="D366" s="10"/>
    </row>
    <row r="367" spans="4:4" x14ac:dyDescent="0.25">
      <c r="D367" s="10"/>
    </row>
    <row r="368" spans="4:4" x14ac:dyDescent="0.25">
      <c r="D368" s="10"/>
    </row>
    <row r="369" spans="4:4" x14ac:dyDescent="0.25">
      <c r="D369" s="10"/>
    </row>
    <row r="370" spans="4:4" x14ac:dyDescent="0.25">
      <c r="D370" s="10"/>
    </row>
    <row r="371" spans="4:4" x14ac:dyDescent="0.25">
      <c r="D371" s="10"/>
    </row>
    <row r="372" spans="4:4" x14ac:dyDescent="0.25">
      <c r="D372" s="10"/>
    </row>
    <row r="373" spans="4:4" x14ac:dyDescent="0.25">
      <c r="D373" s="10"/>
    </row>
    <row r="374" spans="4:4" x14ac:dyDescent="0.25">
      <c r="D374" s="10"/>
    </row>
    <row r="375" spans="4:4" x14ac:dyDescent="0.25">
      <c r="D375" s="10"/>
    </row>
    <row r="376" spans="4:4" x14ac:dyDescent="0.25">
      <c r="D376" s="10"/>
    </row>
    <row r="377" spans="4:4" x14ac:dyDescent="0.25">
      <c r="D377" s="10"/>
    </row>
    <row r="378" spans="4:4" x14ac:dyDescent="0.25">
      <c r="D378" s="10"/>
    </row>
    <row r="379" spans="4:4" x14ac:dyDescent="0.25">
      <c r="D379" s="10"/>
    </row>
    <row r="380" spans="4:4" x14ac:dyDescent="0.25">
      <c r="D380" s="10"/>
    </row>
    <row r="381" spans="4:4" x14ac:dyDescent="0.25">
      <c r="D381" s="10"/>
    </row>
    <row r="382" spans="4:4" x14ac:dyDescent="0.25">
      <c r="D382" s="10"/>
    </row>
    <row r="383" spans="4:4" x14ac:dyDescent="0.25">
      <c r="D383" s="10"/>
    </row>
    <row r="384" spans="4:4" x14ac:dyDescent="0.25">
      <c r="D384" s="10"/>
    </row>
    <row r="385" spans="4:4" x14ac:dyDescent="0.25">
      <c r="D385" s="10"/>
    </row>
    <row r="386" spans="4:4" x14ac:dyDescent="0.25">
      <c r="D386" s="10"/>
    </row>
    <row r="387" spans="4:4" x14ac:dyDescent="0.25">
      <c r="D387" s="10"/>
    </row>
    <row r="388" spans="4:4" x14ac:dyDescent="0.25">
      <c r="D388" s="10"/>
    </row>
    <row r="389" spans="4:4" x14ac:dyDescent="0.25">
      <c r="D389" s="10"/>
    </row>
    <row r="390" spans="4:4" x14ac:dyDescent="0.25">
      <c r="D390" s="10"/>
    </row>
    <row r="391" spans="4:4" x14ac:dyDescent="0.25">
      <c r="D391" s="10"/>
    </row>
    <row r="392" spans="4:4" x14ac:dyDescent="0.25">
      <c r="D392" s="10"/>
    </row>
    <row r="393" spans="4:4" x14ac:dyDescent="0.25">
      <c r="D393" s="10"/>
    </row>
    <row r="394" spans="4:4" x14ac:dyDescent="0.25">
      <c r="D394" s="10"/>
    </row>
    <row r="395" spans="4:4" x14ac:dyDescent="0.25">
      <c r="D395" s="10"/>
    </row>
    <row r="396" spans="4:4" x14ac:dyDescent="0.25">
      <c r="D396" s="10"/>
    </row>
    <row r="397" spans="4:4" x14ac:dyDescent="0.25">
      <c r="D397" s="10"/>
    </row>
    <row r="398" spans="4:4" x14ac:dyDescent="0.25">
      <c r="D398" s="10"/>
    </row>
    <row r="399" spans="4:4" x14ac:dyDescent="0.25">
      <c r="D399" s="10"/>
    </row>
    <row r="400" spans="4:4" x14ac:dyDescent="0.25">
      <c r="D400" s="10"/>
    </row>
    <row r="401" spans="4:4" x14ac:dyDescent="0.25">
      <c r="D401" s="10"/>
    </row>
    <row r="402" spans="4:4" x14ac:dyDescent="0.25">
      <c r="D402" s="10"/>
    </row>
    <row r="403" spans="4:4" x14ac:dyDescent="0.25">
      <c r="D403" s="10"/>
    </row>
    <row r="404" spans="4:4" x14ac:dyDescent="0.25">
      <c r="D404" s="10"/>
    </row>
    <row r="405" spans="4:4" x14ac:dyDescent="0.25">
      <c r="D405" s="10"/>
    </row>
    <row r="406" spans="4:4" x14ac:dyDescent="0.25">
      <c r="D406" s="10"/>
    </row>
    <row r="407" spans="4:4" x14ac:dyDescent="0.25">
      <c r="D407" s="10"/>
    </row>
    <row r="408" spans="4:4" x14ac:dyDescent="0.25">
      <c r="D408" s="10"/>
    </row>
    <row r="409" spans="4:4" x14ac:dyDescent="0.25">
      <c r="D409" s="10"/>
    </row>
    <row r="410" spans="4:4" x14ac:dyDescent="0.25">
      <c r="D410" s="10"/>
    </row>
    <row r="411" spans="4:4" x14ac:dyDescent="0.25">
      <c r="D411" s="10"/>
    </row>
    <row r="412" spans="4:4" x14ac:dyDescent="0.25">
      <c r="D412" s="10"/>
    </row>
    <row r="413" spans="4:4" x14ac:dyDescent="0.25">
      <c r="D413" s="10"/>
    </row>
    <row r="414" spans="4:4" x14ac:dyDescent="0.25">
      <c r="D414" s="10"/>
    </row>
    <row r="415" spans="4:4" x14ac:dyDescent="0.25">
      <c r="D415" s="10"/>
    </row>
    <row r="416" spans="4:4" x14ac:dyDescent="0.25">
      <c r="D416" s="10"/>
    </row>
    <row r="417" spans="4:4" x14ac:dyDescent="0.25">
      <c r="D417" s="10"/>
    </row>
    <row r="418" spans="4:4" x14ac:dyDescent="0.25">
      <c r="D418" s="10"/>
    </row>
    <row r="419" spans="4:4" x14ac:dyDescent="0.25">
      <c r="D419" s="10"/>
    </row>
    <row r="420" spans="4:4" x14ac:dyDescent="0.25">
      <c r="D420" s="10"/>
    </row>
    <row r="421" spans="4:4" x14ac:dyDescent="0.25">
      <c r="D421" s="10"/>
    </row>
    <row r="422" spans="4:4" x14ac:dyDescent="0.25">
      <c r="D422" s="10"/>
    </row>
    <row r="423" spans="4:4" x14ac:dyDescent="0.25">
      <c r="D423" s="10"/>
    </row>
    <row r="424" spans="4:4" x14ac:dyDescent="0.25">
      <c r="D424" s="10"/>
    </row>
    <row r="425" spans="4:4" x14ac:dyDescent="0.25">
      <c r="D425" s="10"/>
    </row>
    <row r="426" spans="4:4" x14ac:dyDescent="0.25">
      <c r="D426" s="10"/>
    </row>
    <row r="427" spans="4:4" x14ac:dyDescent="0.25">
      <c r="D427" s="10"/>
    </row>
    <row r="428" spans="4:4" x14ac:dyDescent="0.25">
      <c r="D428" s="10"/>
    </row>
    <row r="429" spans="4:4" x14ac:dyDescent="0.25">
      <c r="D429" s="10"/>
    </row>
    <row r="430" spans="4:4" x14ac:dyDescent="0.25">
      <c r="D430" s="10"/>
    </row>
    <row r="431" spans="4:4" x14ac:dyDescent="0.25">
      <c r="D431" s="10"/>
    </row>
    <row r="432" spans="4:4" x14ac:dyDescent="0.25">
      <c r="D432" s="10"/>
    </row>
    <row r="433" spans="4:4" x14ac:dyDescent="0.25">
      <c r="D433" s="10"/>
    </row>
  </sheetData>
  <dataValidations count="4">
    <dataValidation type="list" allowBlank="1" showInputMessage="1" showErrorMessage="1" sqref="C1 C122:C1048576" xr:uid="{355A807A-14D5-4DE4-91D8-9451A5370D43}">
      <formula1>"Annual Leave,Sick Leave,Paternity Leave,Maternity Leave"</formula1>
    </dataValidation>
    <dataValidation type="list" allowBlank="1" showInputMessage="1" showErrorMessage="1" sqref="C2" xr:uid="{4A10ACDA-C815-4D05-A017-BB82C3C131C7}">
      <formula1>"Annual Leave,Sick Leave,Paternity Leave,Maternity Leave,Marital Leave,Compassionate Leave"</formula1>
    </dataValidation>
    <dataValidation type="list" allowBlank="1" showInputMessage="1" showErrorMessage="1" sqref="G1:G1048573" xr:uid="{977286B8-FBEC-4F28-BEEC-586EB7EF2C58}">
      <formula1>"Approved,Pending,Rejected"</formula1>
    </dataValidation>
    <dataValidation type="list" allowBlank="1" showInputMessage="1" showErrorMessage="1" sqref="C3:C121" xr:uid="{FF694767-1904-4B6C-9DA4-7DAA125C6BEC}">
      <formula1>"Annual Leave,Sick Leave,Paternity Leave,Maternity Leave,Marital Leave, Compassionate Leave"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CD2F701-3570-48C1-A669-312E7625CE48}">
          <x14:formula1>
            <xm:f>EMPLOYEES!A:A</xm:f>
          </x14:formula1>
          <xm:sqref>A1:A1048573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3634-3402-49F7-89DE-3A43A5F8B253}">
  <dimension ref="A1:I141"/>
  <sheetViews>
    <sheetView tabSelected="1" workbookViewId="0">
      <pane ySplit="1" topLeftCell="A2" activePane="bottomLeft" state="frozen"/>
      <selection pane="bottomLeft" activeCell="D102" sqref="D102"/>
    </sheetView>
  </sheetViews>
  <sheetFormatPr defaultRowHeight="15" x14ac:dyDescent="0.25"/>
  <cols>
    <col min="1" max="1" width="28.42578125" customWidth="1"/>
    <col min="2" max="2" width="21.28515625" customWidth="1"/>
    <col min="3" max="3" width="20.42578125" customWidth="1"/>
    <col min="4" max="4" width="24.7109375" customWidth="1"/>
    <col min="5" max="5" width="26" customWidth="1"/>
    <col min="6" max="6" width="21.7109375" customWidth="1"/>
    <col min="7" max="7" width="22" customWidth="1"/>
    <col min="8" max="8" width="19" customWidth="1"/>
    <col min="9" max="9" width="24.5703125" customWidth="1"/>
  </cols>
  <sheetData>
    <row r="1" spans="1:9" x14ac:dyDescent="0.25">
      <c r="A1" s="5" t="s">
        <v>237</v>
      </c>
      <c r="B1" s="5" t="s">
        <v>243</v>
      </c>
      <c r="C1" s="5" t="s">
        <v>244</v>
      </c>
      <c r="D1" s="5" t="s">
        <v>245</v>
      </c>
      <c r="E1" s="5" t="s">
        <v>246</v>
      </c>
      <c r="F1" s="5" t="s">
        <v>247</v>
      </c>
      <c r="G1" s="5" t="s">
        <v>248</v>
      </c>
      <c r="H1" s="5" t="s">
        <v>249</v>
      </c>
      <c r="I1" s="5" t="s">
        <v>251</v>
      </c>
    </row>
    <row r="2" spans="1:9" x14ac:dyDescent="0.25">
      <c r="A2" t="str">
        <f>EMPLOYEES!B2</f>
        <v>Lawrence Komolafe</v>
      </c>
      <c r="B2">
        <f>SUMIFS('LEAVE LOG'!F$1:F$1048573,'LEAVE LOG'!B$1:B$1048573,A2,'LEAVE LOG'!C$1:C$1048573,"Sick Leave",'LEAVE LOG'!G$1:G$1048573,"Approved")</f>
        <v>0</v>
      </c>
      <c r="C2">
        <f>5-B2</f>
        <v>5</v>
      </c>
      <c r="D2">
        <f>SUMIFS('LEAVE LOG'!F$1:F$1048573,'LEAVE LOG'!B$1:B$1048573,A2,'LEAVE LOG'!C$1:C$1048573,"Annual Leave",'LEAVE LOG'!G$1:G$1048573,"Approved")</f>
        <v>0</v>
      </c>
      <c r="E2">
        <f>10-D2</f>
        <v>10</v>
      </c>
      <c r="F2">
        <f>SUMIFS('LEAVE LOG'!F$1:F$1048573,'LEAVE LOG'!B$1:B$1048573,A2,'LEAVE LOG'!C$1:C$1048573,"Paternity Leave",'LEAVE LOG'!G$1:G$1048573,"Approved")</f>
        <v>0</v>
      </c>
      <c r="G2">
        <f>SUMIFS('LEAVE LOG'!F$1:F$1048573,'LEAVE LOG'!B$1:B$1048573,A2,'LEAVE LOG'!C$1:C$1048573,"Maternity Leave",'LEAVE LOG'!G$1:G$1048573,"Approved")</f>
        <v>0</v>
      </c>
      <c r="H2">
        <f>SUMIFS('LEAVE LOG'!F$1:F$1048573,'LEAVE LOG'!B$1:B$1048573,A2,'LEAVE LOG'!C$1:C$1048573,"Marital Leave",'LEAVE LOG'!G$1:G$1048573,"Approved")</f>
        <v>0</v>
      </c>
      <c r="I2">
        <f>SUMIFS('LEAVE LOG'!F$1:F$1048573,'LEAVE LOG'!B$1:B$1048573,A2,'LEAVE LOG'!C$1:C$1048573,"Compassionate Leave",'LEAVE LOG'!G$1:G$1048573,"Approved")</f>
        <v>0</v>
      </c>
    </row>
    <row r="3" spans="1:9" x14ac:dyDescent="0.25">
      <c r="A3" t="str">
        <f>EMPLOYEES!B3</f>
        <v>Abdulkadir Ahmad</v>
      </c>
      <c r="B3">
        <f>SUMIFS('LEAVE LOG'!F$1:F$1048573,'LEAVE LOG'!B$1:B$1048573,A3,'LEAVE LOG'!C$1:C$1048573,"Sick Leave",'LEAVE LOG'!G$1:G$1048573,"Approved")</f>
        <v>0</v>
      </c>
      <c r="C3">
        <f t="shared" ref="C3:C66" si="0">5-B3</f>
        <v>5</v>
      </c>
      <c r="D3">
        <f>SUMIFS('LEAVE LOG'!F$1:F$1048573,'LEAVE LOG'!B$1:B$1048573,A3,'LEAVE LOG'!C$1:C$1048573,"Annual Leave",'LEAVE LOG'!G$1:G$1048573,"Approved")</f>
        <v>0</v>
      </c>
      <c r="E3">
        <f t="shared" ref="E3:E66" si="1">10-D3</f>
        <v>10</v>
      </c>
      <c r="F3">
        <f>SUMIFS('LEAVE LOG'!F$1:F$1048573,'LEAVE LOG'!B$1:B$1048573,A3,'LEAVE LOG'!C$1:C$1048573,"Paternity Leave",'LEAVE LOG'!G$1:G$1048573,"Approved")</f>
        <v>0</v>
      </c>
      <c r="G3">
        <f>SUMIFS('LEAVE LOG'!F$1:F$1048573,'LEAVE LOG'!B$1:B$1048573,A3,'LEAVE LOG'!C$1:C$1048573,"Maternity Leave",'LEAVE LOG'!G$1:G$1048573,"Approved")</f>
        <v>0</v>
      </c>
      <c r="H3">
        <f>SUMIFS('LEAVE LOG'!F$1:F$1048573,'LEAVE LOG'!B$1:B$1048573,A3,'LEAVE LOG'!C$1:C$1048573,"Marital Leave",'LEAVE LOG'!G$1:G$1048573,"Approved")</f>
        <v>0</v>
      </c>
      <c r="I3">
        <f>SUMIFS('LEAVE LOG'!F$1:F$1048573,'LEAVE LOG'!B$1:B$1048573,A3,'LEAVE LOG'!C$1:C$1048573,"Compassionate Leave",'LEAVE LOG'!G$1:G$1048573,"Approved")</f>
        <v>0</v>
      </c>
    </row>
    <row r="4" spans="1:9" x14ac:dyDescent="0.25">
      <c r="A4" t="str">
        <f>EMPLOYEES!B4</f>
        <v>Abdullahi Zainab Mohammed</v>
      </c>
      <c r="B4">
        <f>SUMIFS('LEAVE LOG'!F$1:F$1048573,'LEAVE LOG'!B$1:B$1048573,A4,'LEAVE LOG'!C$1:C$1048573,"Sick Leave",'LEAVE LOG'!G$1:G$1048573,"Approved")</f>
        <v>2</v>
      </c>
      <c r="C4">
        <f t="shared" si="0"/>
        <v>3</v>
      </c>
      <c r="D4">
        <f>SUMIFS('LEAVE LOG'!F$1:F$1048573,'LEAVE LOG'!B$1:B$1048573,A4,'LEAVE LOG'!C$1:C$1048573,"Annual Leave",'LEAVE LOG'!G$1:G$1048573,"Approved")</f>
        <v>6</v>
      </c>
      <c r="E4">
        <f t="shared" si="1"/>
        <v>4</v>
      </c>
      <c r="F4">
        <f>SUMIFS('LEAVE LOG'!F$1:F$1048573,'LEAVE LOG'!B$1:B$1048573,A4,'LEAVE LOG'!C$1:C$1048573,"Paternity Leave",'LEAVE LOG'!G$1:G$1048573,"Approved")</f>
        <v>0</v>
      </c>
      <c r="G4">
        <f>SUMIFS('LEAVE LOG'!F$1:F$1048573,'LEAVE LOG'!B$1:B$1048573,A4,'LEAVE LOG'!C$1:C$1048573,"Maternity Leave",'LEAVE LOG'!G$1:G$1048573,"Approved")</f>
        <v>0</v>
      </c>
      <c r="H4">
        <f>SUMIFS('LEAVE LOG'!F$1:F$1048573,'LEAVE LOG'!B$1:B$1048573,A4,'LEAVE LOG'!C$1:C$1048573,"Marital Leave",'LEAVE LOG'!G$1:G$1048573,"Approved")</f>
        <v>0</v>
      </c>
      <c r="I4">
        <f>SUMIFS('LEAVE LOG'!F$1:F$1048573,'LEAVE LOG'!B$1:B$1048573,A4,'LEAVE LOG'!C$1:C$1048573,"Compassionate Leave",'LEAVE LOG'!G$1:G$1048573,"Approved")</f>
        <v>0</v>
      </c>
    </row>
    <row r="5" spans="1:9" x14ac:dyDescent="0.25">
      <c r="A5" t="str">
        <f>EMPLOYEES!B5</f>
        <v>Abdulrasaq Aishat Ajoke</v>
      </c>
      <c r="B5">
        <f>SUMIFS('LEAVE LOG'!F$1:F$1048573,'LEAVE LOG'!B$1:B$1048573,A5,'LEAVE LOG'!C$1:C$1048573,"Sick Leave",'LEAVE LOG'!G$1:G$1048573,"Approved")</f>
        <v>0</v>
      </c>
      <c r="C5">
        <f t="shared" si="0"/>
        <v>5</v>
      </c>
      <c r="D5">
        <f>SUMIFS('LEAVE LOG'!F$1:F$1048573,'LEAVE LOG'!B$1:B$1048573,A5,'LEAVE LOG'!C$1:C$1048573,"Annual Leave",'LEAVE LOG'!G$1:G$1048573,"Approved")</f>
        <v>0</v>
      </c>
      <c r="E5">
        <f t="shared" si="1"/>
        <v>10</v>
      </c>
      <c r="F5">
        <f>SUMIFS('LEAVE LOG'!F$1:F$1048573,'LEAVE LOG'!B$1:B$1048573,A5,'LEAVE LOG'!C$1:C$1048573,"Paternity Leave",'LEAVE LOG'!G$1:G$1048573,"Approved")</f>
        <v>0</v>
      </c>
      <c r="G5">
        <f>SUMIFS('LEAVE LOG'!F$1:F$1048573,'LEAVE LOG'!B$1:B$1048573,A5,'LEAVE LOG'!C$1:C$1048573,"Maternity Leave",'LEAVE LOG'!G$1:G$1048573,"Approved")</f>
        <v>0</v>
      </c>
      <c r="H5">
        <f>SUMIFS('LEAVE LOG'!F$1:F$1048573,'LEAVE LOG'!B$1:B$1048573,A5,'LEAVE LOG'!C$1:C$1048573,"Marital Leave",'LEAVE LOG'!G$1:G$1048573,"Approved")</f>
        <v>0</v>
      </c>
      <c r="I5">
        <f>SUMIFS('LEAVE LOG'!F$1:F$1048573,'LEAVE LOG'!B$1:B$1048573,A5,'LEAVE LOG'!C$1:C$1048573,"Compassionate Leave",'LEAVE LOG'!G$1:G$1048573,"Approved")</f>
        <v>0</v>
      </c>
    </row>
    <row r="6" spans="1:9" x14ac:dyDescent="0.25">
      <c r="A6" t="str">
        <f>EMPLOYEES!B6</f>
        <v>Abolarin Segun Emmanuel</v>
      </c>
      <c r="B6">
        <f>SUMIFS('LEAVE LOG'!F$1:F$1048573,'LEAVE LOG'!B$1:B$1048573,A6,'LEAVE LOG'!C$1:C$1048573,"Sick Leave",'LEAVE LOG'!G$1:G$1048573,"Approved")</f>
        <v>0</v>
      </c>
      <c r="C6">
        <f t="shared" si="0"/>
        <v>5</v>
      </c>
      <c r="D6">
        <f>SUMIFS('LEAVE LOG'!F$1:F$1048573,'LEAVE LOG'!B$1:B$1048573,A6,'LEAVE LOG'!C$1:C$1048573,"Annual Leave",'LEAVE LOG'!G$1:G$1048573,"Approved")</f>
        <v>0</v>
      </c>
      <c r="E6">
        <f t="shared" si="1"/>
        <v>10</v>
      </c>
      <c r="F6">
        <f>SUMIFS('LEAVE LOG'!F$1:F$1048573,'LEAVE LOG'!B$1:B$1048573,A6,'LEAVE LOG'!C$1:C$1048573,"Paternity Leave",'LEAVE LOG'!G$1:G$1048573,"Approved")</f>
        <v>0</v>
      </c>
      <c r="G6">
        <f>SUMIFS('LEAVE LOG'!F$1:F$1048573,'LEAVE LOG'!B$1:B$1048573,A6,'LEAVE LOG'!C$1:C$1048573,"Maternity Leave",'LEAVE LOG'!G$1:G$1048573,"Approved")</f>
        <v>0</v>
      </c>
      <c r="H6">
        <f>SUMIFS('LEAVE LOG'!F$1:F$1048573,'LEAVE LOG'!B$1:B$1048573,A6,'LEAVE LOG'!C$1:C$1048573,"Marital Leave",'LEAVE LOG'!G$1:G$1048573,"Approved")</f>
        <v>0</v>
      </c>
      <c r="I6">
        <f>SUMIFS('LEAVE LOG'!F$1:F$1048573,'LEAVE LOG'!B$1:B$1048573,A6,'LEAVE LOG'!C$1:C$1048573,"Compassionate Leave",'LEAVE LOG'!G$1:G$1048573,"Approved")</f>
        <v>0</v>
      </c>
    </row>
    <row r="7" spans="1:9" x14ac:dyDescent="0.25">
      <c r="A7" t="str">
        <f>EMPLOYEES!B7</f>
        <v>Adam Abdulateef</v>
      </c>
      <c r="B7">
        <f>SUMIFS('LEAVE LOG'!F$1:F$1048573,'LEAVE LOG'!B$1:B$1048573,A7,'LEAVE LOG'!C$1:C$1048573,"Sick Leave",'LEAVE LOG'!G$1:G$1048573,"Approved")</f>
        <v>0</v>
      </c>
      <c r="C7">
        <f t="shared" si="0"/>
        <v>5</v>
      </c>
      <c r="D7">
        <f>SUMIFS('LEAVE LOG'!F$1:F$1048573,'LEAVE LOG'!B$1:B$1048573,A7,'LEAVE LOG'!C$1:C$1048573,"Annual Leave",'LEAVE LOG'!G$1:G$1048573,"Approved")</f>
        <v>0</v>
      </c>
      <c r="E7">
        <f t="shared" si="1"/>
        <v>10</v>
      </c>
      <c r="F7">
        <f>SUMIFS('LEAVE LOG'!F$1:F$1048573,'LEAVE LOG'!B$1:B$1048573,A7,'LEAVE LOG'!C$1:C$1048573,"Paternity Leave",'LEAVE LOG'!G$1:G$1048573,"Approved")</f>
        <v>0</v>
      </c>
      <c r="G7">
        <f>SUMIFS('LEAVE LOG'!F$1:F$1048573,'LEAVE LOG'!B$1:B$1048573,A7,'LEAVE LOG'!C$1:C$1048573,"Maternity Leave",'LEAVE LOG'!G$1:G$1048573,"Approved")</f>
        <v>0</v>
      </c>
      <c r="H7">
        <f>SUMIFS('LEAVE LOG'!F$1:F$1048573,'LEAVE LOG'!B$1:B$1048573,A7,'LEAVE LOG'!C$1:C$1048573,"Marital Leave",'LEAVE LOG'!G$1:G$1048573,"Approved")</f>
        <v>0</v>
      </c>
      <c r="I7">
        <f>SUMIFS('LEAVE LOG'!F$1:F$1048573,'LEAVE LOG'!B$1:B$1048573,A7,'LEAVE LOG'!C$1:C$1048573,"Compassionate Leave",'LEAVE LOG'!G$1:G$1048573,"Approved")</f>
        <v>0</v>
      </c>
    </row>
    <row r="8" spans="1:9" x14ac:dyDescent="0.25">
      <c r="A8" t="str">
        <f>EMPLOYEES!B8</f>
        <v>Adebayo Faith Oluwashikemi</v>
      </c>
      <c r="B8">
        <f>SUMIFS('LEAVE LOG'!F$1:F$1048573,'LEAVE LOG'!B$1:B$1048573,A8,'LEAVE LOG'!C$1:C$1048573,"Sick Leave",'LEAVE LOG'!G$1:G$1048573,"Approved")</f>
        <v>0</v>
      </c>
      <c r="C8">
        <f t="shared" si="0"/>
        <v>5</v>
      </c>
      <c r="D8">
        <f>SUMIFS('LEAVE LOG'!F$1:F$1048573,'LEAVE LOG'!B$1:B$1048573,A8,'LEAVE LOG'!C$1:C$1048573,"Annual Leave",'LEAVE LOG'!G$1:G$1048573,"Approved")</f>
        <v>0</v>
      </c>
      <c r="E8">
        <f t="shared" si="1"/>
        <v>10</v>
      </c>
      <c r="F8">
        <f>SUMIFS('LEAVE LOG'!F$1:F$1048573,'LEAVE LOG'!B$1:B$1048573,A8,'LEAVE LOG'!C$1:C$1048573,"Paternity Leave",'LEAVE LOG'!G$1:G$1048573,"Approved")</f>
        <v>0</v>
      </c>
      <c r="G8">
        <f>SUMIFS('LEAVE LOG'!F$1:F$1048573,'LEAVE LOG'!B$1:B$1048573,A8,'LEAVE LOG'!C$1:C$1048573,"Maternity Leave",'LEAVE LOG'!G$1:G$1048573,"Approved")</f>
        <v>0</v>
      </c>
      <c r="H8">
        <f>SUMIFS('LEAVE LOG'!F$1:F$1048573,'LEAVE LOG'!B$1:B$1048573,A8,'LEAVE LOG'!C$1:C$1048573,"Marital Leave",'LEAVE LOG'!G$1:G$1048573,"Approved")</f>
        <v>0</v>
      </c>
      <c r="I8">
        <f>SUMIFS('LEAVE LOG'!F$1:F$1048573,'LEAVE LOG'!B$1:B$1048573,A8,'LEAVE LOG'!C$1:C$1048573,"Compassionate Leave",'LEAVE LOG'!G$1:G$1048573,"Approved")</f>
        <v>0</v>
      </c>
    </row>
    <row r="9" spans="1:9" x14ac:dyDescent="0.25">
      <c r="A9" t="str">
        <f>EMPLOYEES!B9</f>
        <v>Adebayo Femi Ebenezer</v>
      </c>
      <c r="B9">
        <f>SUMIFS('LEAVE LOG'!F$1:F$1048573,'LEAVE LOG'!B$1:B$1048573,A9,'LEAVE LOG'!C$1:C$1048573,"Sick Leave",'LEAVE LOG'!G$1:G$1048573,"Approved")</f>
        <v>0</v>
      </c>
      <c r="C9">
        <f t="shared" si="0"/>
        <v>5</v>
      </c>
      <c r="D9">
        <f>SUMIFS('LEAVE LOG'!F$1:F$1048573,'LEAVE LOG'!B$1:B$1048573,A9,'LEAVE LOG'!C$1:C$1048573,"Annual Leave",'LEAVE LOG'!G$1:G$1048573,"Approved")</f>
        <v>0</v>
      </c>
      <c r="E9">
        <f t="shared" si="1"/>
        <v>10</v>
      </c>
      <c r="F9">
        <f>SUMIFS('LEAVE LOG'!F$1:F$1048573,'LEAVE LOG'!B$1:B$1048573,A9,'LEAVE LOG'!C$1:C$1048573,"Paternity Leave",'LEAVE LOG'!G$1:G$1048573,"Approved")</f>
        <v>0</v>
      </c>
      <c r="G9">
        <f>SUMIFS('LEAVE LOG'!F$1:F$1048573,'LEAVE LOG'!B$1:B$1048573,A9,'LEAVE LOG'!C$1:C$1048573,"Maternity Leave",'LEAVE LOG'!G$1:G$1048573,"Approved")</f>
        <v>0</v>
      </c>
      <c r="H9">
        <f>SUMIFS('LEAVE LOG'!F$1:F$1048573,'LEAVE LOG'!B$1:B$1048573,A9,'LEAVE LOG'!C$1:C$1048573,"Marital Leave",'LEAVE LOG'!G$1:G$1048573,"Approved")</f>
        <v>0</v>
      </c>
      <c r="I9">
        <f>SUMIFS('LEAVE LOG'!F$1:F$1048573,'LEAVE LOG'!B$1:B$1048573,A9,'LEAVE LOG'!C$1:C$1048573,"Compassionate Leave",'LEAVE LOG'!G$1:G$1048573,"Approved")</f>
        <v>0</v>
      </c>
    </row>
    <row r="10" spans="1:9" x14ac:dyDescent="0.25">
      <c r="A10" t="str">
        <f>EMPLOYEES!B10</f>
        <v>Adebayo John Olushola</v>
      </c>
      <c r="B10">
        <f>SUMIFS('LEAVE LOG'!F$1:F$1048573,'LEAVE LOG'!B$1:B$1048573,A10,'LEAVE LOG'!C$1:C$1048573,"Sick Leave",'LEAVE LOG'!G$1:G$1048573,"Approved")</f>
        <v>0</v>
      </c>
      <c r="C10">
        <f t="shared" si="0"/>
        <v>5</v>
      </c>
      <c r="D10">
        <f>SUMIFS('LEAVE LOG'!F$1:F$1048573,'LEAVE LOG'!B$1:B$1048573,A10,'LEAVE LOG'!C$1:C$1048573,"Annual Leave",'LEAVE LOG'!G$1:G$1048573,"Approved")</f>
        <v>0</v>
      </c>
      <c r="E10">
        <f t="shared" si="1"/>
        <v>10</v>
      </c>
      <c r="F10">
        <f>SUMIFS('LEAVE LOG'!F$1:F$1048573,'LEAVE LOG'!B$1:B$1048573,A10,'LEAVE LOG'!C$1:C$1048573,"Paternity Leave",'LEAVE LOG'!G$1:G$1048573,"Approved")</f>
        <v>0</v>
      </c>
      <c r="G10">
        <f>SUMIFS('LEAVE LOG'!F$1:F$1048573,'LEAVE LOG'!B$1:B$1048573,A10,'LEAVE LOG'!C$1:C$1048573,"Maternity Leave",'LEAVE LOG'!G$1:G$1048573,"Approved")</f>
        <v>0</v>
      </c>
      <c r="H10">
        <f>SUMIFS('LEAVE LOG'!F$1:F$1048573,'LEAVE LOG'!B$1:B$1048573,A10,'LEAVE LOG'!C$1:C$1048573,"Marital Leave",'LEAVE LOG'!G$1:G$1048573,"Approved")</f>
        <v>0</v>
      </c>
      <c r="I10">
        <f>SUMIFS('LEAVE LOG'!F$1:F$1048573,'LEAVE LOG'!B$1:B$1048573,A10,'LEAVE LOG'!C$1:C$1048573,"Compassionate Leave",'LEAVE LOG'!G$1:G$1048573,"Approved")</f>
        <v>0</v>
      </c>
    </row>
    <row r="11" spans="1:9" x14ac:dyDescent="0.25">
      <c r="A11" t="str">
        <f>EMPLOYEES!B11</f>
        <v>Adebayo Samuel Kehinde</v>
      </c>
      <c r="B11">
        <f>SUMIFS('LEAVE LOG'!F$1:F$1048573,'LEAVE LOG'!B$1:B$1048573,A11,'LEAVE LOG'!C$1:C$1048573,"Sick Leave",'LEAVE LOG'!G$1:G$1048573,"Approved")</f>
        <v>0</v>
      </c>
      <c r="C11">
        <f t="shared" si="0"/>
        <v>5</v>
      </c>
      <c r="D11">
        <f>SUMIFS('LEAVE LOG'!F$1:F$1048573,'LEAVE LOG'!B$1:B$1048573,A11,'LEAVE LOG'!C$1:C$1048573,"Annual Leave",'LEAVE LOG'!G$1:G$1048573,"Approved")</f>
        <v>0</v>
      </c>
      <c r="E11">
        <f t="shared" si="1"/>
        <v>10</v>
      </c>
      <c r="F11">
        <f>SUMIFS('LEAVE LOG'!F$1:F$1048573,'LEAVE LOG'!B$1:B$1048573,A11,'LEAVE LOG'!C$1:C$1048573,"Paternity Leave",'LEAVE LOG'!G$1:G$1048573,"Approved")</f>
        <v>0</v>
      </c>
      <c r="G11">
        <f>SUMIFS('LEAVE LOG'!F$1:F$1048573,'LEAVE LOG'!B$1:B$1048573,A11,'LEAVE LOG'!C$1:C$1048573,"Maternity Leave",'LEAVE LOG'!G$1:G$1048573,"Approved")</f>
        <v>0</v>
      </c>
      <c r="H11">
        <f>SUMIFS('LEAVE LOG'!F$1:F$1048573,'LEAVE LOG'!B$1:B$1048573,A11,'LEAVE LOG'!C$1:C$1048573,"Marital Leave",'LEAVE LOG'!G$1:G$1048573,"Approved")</f>
        <v>0</v>
      </c>
      <c r="I11">
        <f>SUMIFS('LEAVE LOG'!F$1:F$1048573,'LEAVE LOG'!B$1:B$1048573,A11,'LEAVE LOG'!C$1:C$1048573,"Compassionate Leave",'LEAVE LOG'!G$1:G$1048573,"Approved")</f>
        <v>0</v>
      </c>
    </row>
    <row r="12" spans="1:9" x14ac:dyDescent="0.25">
      <c r="A12" t="str">
        <f>EMPLOYEES!B12</f>
        <v>Adedayo Olajumoke</v>
      </c>
      <c r="B12">
        <f>SUMIFS('LEAVE LOG'!F$1:F$1048573,'LEAVE LOG'!B$1:B$1048573,A12,'LEAVE LOG'!C$1:C$1048573,"Sick Leave",'LEAVE LOG'!G$1:G$1048573,"Approved")</f>
        <v>0</v>
      </c>
      <c r="C12">
        <f t="shared" si="0"/>
        <v>5</v>
      </c>
      <c r="D12">
        <f>SUMIFS('LEAVE LOG'!F$1:F$1048573,'LEAVE LOG'!B$1:B$1048573,A12,'LEAVE LOG'!C$1:C$1048573,"Annual Leave",'LEAVE LOG'!G$1:G$1048573,"Approved")</f>
        <v>4</v>
      </c>
      <c r="E12">
        <f t="shared" si="1"/>
        <v>6</v>
      </c>
      <c r="F12">
        <f>SUMIFS('LEAVE LOG'!F$1:F$1048573,'LEAVE LOG'!B$1:B$1048573,A12,'LEAVE LOG'!C$1:C$1048573,"Paternity Leave",'LEAVE LOG'!G$1:G$1048573,"Approved")</f>
        <v>0</v>
      </c>
      <c r="G12">
        <f>SUMIFS('LEAVE LOG'!F$1:F$1048573,'LEAVE LOG'!B$1:B$1048573,A12,'LEAVE LOG'!C$1:C$1048573,"Maternity Leave",'LEAVE LOG'!G$1:G$1048573,"Approved")</f>
        <v>0</v>
      </c>
      <c r="H12">
        <f>SUMIFS('LEAVE LOG'!F$1:F$1048573,'LEAVE LOG'!B$1:B$1048573,A12,'LEAVE LOG'!C$1:C$1048573,"Marital Leave",'LEAVE LOG'!G$1:G$1048573,"Approved")</f>
        <v>0</v>
      </c>
      <c r="I12">
        <f>SUMIFS('LEAVE LOG'!F$1:F$1048573,'LEAVE LOG'!B$1:B$1048573,A12,'LEAVE LOG'!C$1:C$1048573,"Compassionate Leave",'LEAVE LOG'!G$1:G$1048573,"Approved")</f>
        <v>0</v>
      </c>
    </row>
    <row r="13" spans="1:9" x14ac:dyDescent="0.25">
      <c r="A13" t="str">
        <f>EMPLOYEES!B13</f>
        <v>Adedayo Tolulope Adebisi</v>
      </c>
      <c r="B13">
        <f>SUMIFS('LEAVE LOG'!F$1:F$1048573,'LEAVE LOG'!B$1:B$1048573,A13,'LEAVE LOG'!C$1:C$1048573,"Sick Leave",'LEAVE LOG'!G$1:G$1048573,"Approved")</f>
        <v>0</v>
      </c>
      <c r="C13">
        <f t="shared" si="0"/>
        <v>5</v>
      </c>
      <c r="D13">
        <f>SUMIFS('LEAVE LOG'!F$1:F$1048573,'LEAVE LOG'!B$1:B$1048573,A13,'LEAVE LOG'!C$1:C$1048573,"Annual Leave",'LEAVE LOG'!G$1:G$1048573,"Approved")</f>
        <v>0</v>
      </c>
      <c r="E13">
        <f t="shared" si="1"/>
        <v>10</v>
      </c>
      <c r="F13">
        <f>SUMIFS('LEAVE LOG'!F$1:F$1048573,'LEAVE LOG'!B$1:B$1048573,A13,'LEAVE LOG'!C$1:C$1048573,"Paternity Leave",'LEAVE LOG'!G$1:G$1048573,"Approved")</f>
        <v>0</v>
      </c>
      <c r="G13">
        <f>SUMIFS('LEAVE LOG'!F$1:F$1048573,'LEAVE LOG'!B$1:B$1048573,A13,'LEAVE LOG'!C$1:C$1048573,"Maternity Leave",'LEAVE LOG'!G$1:G$1048573,"Approved")</f>
        <v>0</v>
      </c>
      <c r="H13">
        <f>SUMIFS('LEAVE LOG'!F$1:F$1048573,'LEAVE LOG'!B$1:B$1048573,A13,'LEAVE LOG'!C$1:C$1048573,"Marital Leave",'LEAVE LOG'!G$1:G$1048573,"Approved")</f>
        <v>0</v>
      </c>
      <c r="I13">
        <f>SUMIFS('LEAVE LOG'!F$1:F$1048573,'LEAVE LOG'!B$1:B$1048573,A13,'LEAVE LOG'!C$1:C$1048573,"Compassionate Leave",'LEAVE LOG'!G$1:G$1048573,"Approved")</f>
        <v>0</v>
      </c>
    </row>
    <row r="14" spans="1:9" x14ac:dyDescent="0.25">
      <c r="A14" t="str">
        <f>EMPLOYEES!B14</f>
        <v>Adepoju Rachael Omotayo</v>
      </c>
      <c r="B14">
        <f>SUMIFS('LEAVE LOG'!F$1:F$1048573,'LEAVE LOG'!B$1:B$1048573,A14,'LEAVE LOG'!C$1:C$1048573,"Sick Leave",'LEAVE LOG'!G$1:G$1048573,"Approved")</f>
        <v>5</v>
      </c>
      <c r="C14">
        <f t="shared" si="0"/>
        <v>0</v>
      </c>
      <c r="D14">
        <f>SUMIFS('LEAVE LOG'!F$1:F$1048573,'LEAVE LOG'!B$1:B$1048573,A14,'LEAVE LOG'!C$1:C$1048573,"Annual Leave",'LEAVE LOG'!G$1:G$1048573,"Approved")</f>
        <v>6</v>
      </c>
      <c r="E14">
        <f t="shared" si="1"/>
        <v>4</v>
      </c>
      <c r="F14">
        <f>SUMIFS('LEAVE LOG'!F$1:F$1048573,'LEAVE LOG'!B$1:B$1048573,A14,'LEAVE LOG'!C$1:C$1048573,"Paternity Leave",'LEAVE LOG'!G$1:G$1048573,"Approved")</f>
        <v>0</v>
      </c>
      <c r="G14">
        <f>SUMIFS('LEAVE LOG'!F$1:F$1048573,'LEAVE LOG'!B$1:B$1048573,A14,'LEAVE LOG'!C$1:C$1048573,"Maternity Leave",'LEAVE LOG'!G$1:G$1048573,"Approved")</f>
        <v>90</v>
      </c>
      <c r="H14">
        <f>SUMIFS('LEAVE LOG'!F$1:F$1048573,'LEAVE LOG'!B$1:B$1048573,A14,'LEAVE LOG'!C$1:C$1048573,"Marital Leave",'LEAVE LOG'!G$1:G$1048573,"Approved")</f>
        <v>0</v>
      </c>
      <c r="I14">
        <f>SUMIFS('LEAVE LOG'!F$1:F$1048573,'LEAVE LOG'!B$1:B$1048573,A14,'LEAVE LOG'!C$1:C$1048573,"Compassionate Leave",'LEAVE LOG'!G$1:G$1048573,"Approved")</f>
        <v>0</v>
      </c>
    </row>
    <row r="15" spans="1:9" x14ac:dyDescent="0.25">
      <c r="A15" t="str">
        <f>EMPLOYEES!B15</f>
        <v>Aderinto Damilola Gloria</v>
      </c>
      <c r="B15">
        <f>SUMIFS('LEAVE LOG'!F$1:F$1048573,'LEAVE LOG'!B$1:B$1048573,A15,'LEAVE LOG'!C$1:C$1048573,"Sick Leave",'LEAVE LOG'!G$1:G$1048573,"Approved")</f>
        <v>0</v>
      </c>
      <c r="C15">
        <f t="shared" si="0"/>
        <v>5</v>
      </c>
      <c r="D15">
        <f>SUMIFS('LEAVE LOG'!F$1:F$1048573,'LEAVE LOG'!B$1:B$1048573,A15,'LEAVE LOG'!C$1:C$1048573,"Annual Leave",'LEAVE LOG'!G$1:G$1048573,"Approved")</f>
        <v>0</v>
      </c>
      <c r="E15">
        <f t="shared" si="1"/>
        <v>10</v>
      </c>
      <c r="F15">
        <f>SUMIFS('LEAVE LOG'!F$1:F$1048573,'LEAVE LOG'!B$1:B$1048573,A15,'LEAVE LOG'!C$1:C$1048573,"Paternity Leave",'LEAVE LOG'!G$1:G$1048573,"Approved")</f>
        <v>0</v>
      </c>
      <c r="G15">
        <f>SUMIFS('LEAVE LOG'!F$1:F$1048573,'LEAVE LOG'!B$1:B$1048573,A15,'LEAVE LOG'!C$1:C$1048573,"Maternity Leave",'LEAVE LOG'!G$1:G$1048573,"Approved")</f>
        <v>0</v>
      </c>
      <c r="H15">
        <f>SUMIFS('LEAVE LOG'!F$1:F$1048573,'LEAVE LOG'!B$1:B$1048573,A15,'LEAVE LOG'!C$1:C$1048573,"Marital Leave",'LEAVE LOG'!G$1:G$1048573,"Approved")</f>
        <v>0</v>
      </c>
      <c r="I15">
        <f>SUMIFS('LEAVE LOG'!F$1:F$1048573,'LEAVE LOG'!B$1:B$1048573,A15,'LEAVE LOG'!C$1:C$1048573,"Compassionate Leave",'LEAVE LOG'!G$1:G$1048573,"Approved")</f>
        <v>0</v>
      </c>
    </row>
    <row r="16" spans="1:9" x14ac:dyDescent="0.25">
      <c r="A16" t="str">
        <f>EMPLOYEES!B16</f>
        <v>Adeyemo Adeola Dorcas</v>
      </c>
      <c r="B16">
        <f>SUMIFS('LEAVE LOG'!F$1:F$1048573,'LEAVE LOG'!B$1:B$1048573,A16,'LEAVE LOG'!C$1:C$1048573,"Sick Leave",'LEAVE LOG'!G$1:G$1048573,"Approved")</f>
        <v>2</v>
      </c>
      <c r="C16">
        <f t="shared" si="0"/>
        <v>3</v>
      </c>
      <c r="D16">
        <f>SUMIFS('LEAVE LOG'!F$1:F$1048573,'LEAVE LOG'!B$1:B$1048573,A16,'LEAVE LOG'!C$1:C$1048573,"Annual Leave",'LEAVE LOG'!G$1:G$1048573,"Approved")</f>
        <v>2</v>
      </c>
      <c r="E16">
        <f t="shared" si="1"/>
        <v>8</v>
      </c>
      <c r="F16">
        <f>SUMIFS('LEAVE LOG'!F$1:F$1048573,'LEAVE LOG'!B$1:B$1048573,A16,'LEAVE LOG'!C$1:C$1048573,"Paternity Leave",'LEAVE LOG'!G$1:G$1048573,"Approved")</f>
        <v>0</v>
      </c>
      <c r="G16">
        <f>SUMIFS('LEAVE LOG'!F$1:F$1048573,'LEAVE LOG'!B$1:B$1048573,A16,'LEAVE LOG'!C$1:C$1048573,"Maternity Leave",'LEAVE LOG'!G$1:G$1048573,"Approved")</f>
        <v>0</v>
      </c>
      <c r="H16">
        <f>SUMIFS('LEAVE LOG'!F$1:F$1048573,'LEAVE LOG'!B$1:B$1048573,A16,'LEAVE LOG'!C$1:C$1048573,"Marital Leave",'LEAVE LOG'!G$1:G$1048573,"Approved")</f>
        <v>0</v>
      </c>
      <c r="I16">
        <f>SUMIFS('LEAVE LOG'!F$1:F$1048573,'LEAVE LOG'!B$1:B$1048573,A16,'LEAVE LOG'!C$1:C$1048573,"Compassionate Leave",'LEAVE LOG'!G$1:G$1048573,"Approved")</f>
        <v>0</v>
      </c>
    </row>
    <row r="17" spans="1:9" x14ac:dyDescent="0.25">
      <c r="A17" t="str">
        <f>EMPLOYEES!B17</f>
        <v>Adu Oluwasola Odunayo</v>
      </c>
      <c r="B17">
        <f>SUMIFS('LEAVE LOG'!F$1:F$1048573,'LEAVE LOG'!B$1:B$1048573,A17,'LEAVE LOG'!C$1:C$1048573,"Sick Leave",'LEAVE LOG'!G$1:G$1048573,"Approved")</f>
        <v>0</v>
      </c>
      <c r="C17">
        <f t="shared" si="0"/>
        <v>5</v>
      </c>
      <c r="D17">
        <f>SUMIFS('LEAVE LOG'!F$1:F$1048573,'LEAVE LOG'!B$1:B$1048573,A17,'LEAVE LOG'!C$1:C$1048573,"Annual Leave",'LEAVE LOG'!G$1:G$1048573,"Approved")</f>
        <v>0</v>
      </c>
      <c r="E17">
        <f t="shared" si="1"/>
        <v>10</v>
      </c>
      <c r="F17">
        <f>SUMIFS('LEAVE LOG'!F$1:F$1048573,'LEAVE LOG'!B$1:B$1048573,A17,'LEAVE LOG'!C$1:C$1048573,"Paternity Leave",'LEAVE LOG'!G$1:G$1048573,"Approved")</f>
        <v>0</v>
      </c>
      <c r="G17">
        <f>SUMIFS('LEAVE LOG'!F$1:F$1048573,'LEAVE LOG'!B$1:B$1048573,A17,'LEAVE LOG'!C$1:C$1048573,"Maternity Leave",'LEAVE LOG'!G$1:G$1048573,"Approved")</f>
        <v>0</v>
      </c>
      <c r="H17">
        <f>SUMIFS('LEAVE LOG'!F$1:F$1048573,'LEAVE LOG'!B$1:B$1048573,A17,'LEAVE LOG'!C$1:C$1048573,"Marital Leave",'LEAVE LOG'!G$1:G$1048573,"Approved")</f>
        <v>0</v>
      </c>
      <c r="I17">
        <f>SUMIFS('LEAVE LOG'!F$1:F$1048573,'LEAVE LOG'!B$1:B$1048573,A17,'LEAVE LOG'!C$1:C$1048573,"Compassionate Leave",'LEAVE LOG'!G$1:G$1048573,"Approved")</f>
        <v>0</v>
      </c>
    </row>
    <row r="18" spans="1:9" x14ac:dyDescent="0.25">
      <c r="A18" t="str">
        <f>EMPLOYEES!B18</f>
        <v>Agugoesi Fidelia Gift</v>
      </c>
      <c r="B18">
        <f>SUMIFS('LEAVE LOG'!F$1:F$1048573,'LEAVE LOG'!B$1:B$1048573,A18,'LEAVE LOG'!C$1:C$1048573,"Sick Leave",'LEAVE LOG'!G$1:G$1048573,"Approved")</f>
        <v>0</v>
      </c>
      <c r="C18">
        <f t="shared" si="0"/>
        <v>5</v>
      </c>
      <c r="D18">
        <f>SUMIFS('LEAVE LOG'!F$1:F$1048573,'LEAVE LOG'!B$1:B$1048573,A18,'LEAVE LOG'!C$1:C$1048573,"Annual Leave",'LEAVE LOG'!G$1:G$1048573,"Approved")</f>
        <v>0</v>
      </c>
      <c r="E18">
        <f t="shared" si="1"/>
        <v>10</v>
      </c>
      <c r="F18">
        <f>SUMIFS('LEAVE LOG'!F$1:F$1048573,'LEAVE LOG'!B$1:B$1048573,A18,'LEAVE LOG'!C$1:C$1048573,"Paternity Leave",'LEAVE LOG'!G$1:G$1048573,"Approved")</f>
        <v>0</v>
      </c>
      <c r="G18">
        <f>SUMIFS('LEAVE LOG'!F$1:F$1048573,'LEAVE LOG'!B$1:B$1048573,A18,'LEAVE LOG'!C$1:C$1048573,"Maternity Leave",'LEAVE LOG'!G$1:G$1048573,"Approved")</f>
        <v>0</v>
      </c>
      <c r="H18">
        <f>SUMIFS('LEAVE LOG'!F$1:F$1048573,'LEAVE LOG'!B$1:B$1048573,A18,'LEAVE LOG'!C$1:C$1048573,"Marital Leave",'LEAVE LOG'!G$1:G$1048573,"Approved")</f>
        <v>0</v>
      </c>
      <c r="I18">
        <f>SUMIFS('LEAVE LOG'!F$1:F$1048573,'LEAVE LOG'!B$1:B$1048573,A18,'LEAVE LOG'!C$1:C$1048573,"Compassionate Leave",'LEAVE LOG'!G$1:G$1048573,"Approved")</f>
        <v>0</v>
      </c>
    </row>
    <row r="19" spans="1:9" x14ac:dyDescent="0.25">
      <c r="A19" t="str">
        <f>EMPLOYEES!B19</f>
        <v>Ajao Yussuf</v>
      </c>
      <c r="B19">
        <f>SUMIFS('LEAVE LOG'!F$1:F$1048573,'LEAVE LOG'!B$1:B$1048573,A19,'LEAVE LOG'!C$1:C$1048573,"Sick Leave",'LEAVE LOG'!G$1:G$1048573,"Approved")</f>
        <v>0</v>
      </c>
      <c r="C19">
        <f t="shared" si="0"/>
        <v>5</v>
      </c>
      <c r="D19">
        <f>SUMIFS('LEAVE LOG'!F$1:F$1048573,'LEAVE LOG'!B$1:B$1048573,A19,'LEAVE LOG'!C$1:C$1048573,"Annual Leave",'LEAVE LOG'!G$1:G$1048573,"Approved")</f>
        <v>0</v>
      </c>
      <c r="E19">
        <f t="shared" si="1"/>
        <v>10</v>
      </c>
      <c r="F19">
        <f>SUMIFS('LEAVE LOG'!F$1:F$1048573,'LEAVE LOG'!B$1:B$1048573,A19,'LEAVE LOG'!C$1:C$1048573,"Paternity Leave",'LEAVE LOG'!G$1:G$1048573,"Approved")</f>
        <v>0</v>
      </c>
      <c r="G19">
        <f>SUMIFS('LEAVE LOG'!F$1:F$1048573,'LEAVE LOG'!B$1:B$1048573,A19,'LEAVE LOG'!C$1:C$1048573,"Maternity Leave",'LEAVE LOG'!G$1:G$1048573,"Approved")</f>
        <v>0</v>
      </c>
      <c r="H19">
        <f>SUMIFS('LEAVE LOG'!F$1:F$1048573,'LEAVE LOG'!B$1:B$1048573,A19,'LEAVE LOG'!C$1:C$1048573,"Marital Leave",'LEAVE LOG'!G$1:G$1048573,"Approved")</f>
        <v>0</v>
      </c>
      <c r="I19">
        <f>SUMIFS('LEAVE LOG'!F$1:F$1048573,'LEAVE LOG'!B$1:B$1048573,A19,'LEAVE LOG'!C$1:C$1048573,"Compassionate Leave",'LEAVE LOG'!G$1:G$1048573,"Approved")</f>
        <v>0</v>
      </c>
    </row>
    <row r="20" spans="1:9" x14ac:dyDescent="0.25">
      <c r="A20" t="str">
        <f>EMPLOYEES!B20</f>
        <v>Ajibola Adenike Mary</v>
      </c>
      <c r="B20">
        <f>SUMIFS('LEAVE LOG'!F$1:F$1048573,'LEAVE LOG'!B$1:B$1048573,A20,'LEAVE LOG'!C$1:C$1048573,"Sick Leave",'LEAVE LOG'!G$1:G$1048573,"Approved")</f>
        <v>0</v>
      </c>
      <c r="C20">
        <f t="shared" si="0"/>
        <v>5</v>
      </c>
      <c r="D20">
        <f>SUMIFS('LEAVE LOG'!F$1:F$1048573,'LEAVE LOG'!B$1:B$1048573,A20,'LEAVE LOG'!C$1:C$1048573,"Annual Leave",'LEAVE LOG'!G$1:G$1048573,"Approved")</f>
        <v>0</v>
      </c>
      <c r="E20">
        <f t="shared" si="1"/>
        <v>10</v>
      </c>
      <c r="F20">
        <f>SUMIFS('LEAVE LOG'!F$1:F$1048573,'LEAVE LOG'!B$1:B$1048573,A20,'LEAVE LOG'!C$1:C$1048573,"Paternity Leave",'LEAVE LOG'!G$1:G$1048573,"Approved")</f>
        <v>0</v>
      </c>
      <c r="G20">
        <f>SUMIFS('LEAVE LOG'!F$1:F$1048573,'LEAVE LOG'!B$1:B$1048573,A20,'LEAVE LOG'!C$1:C$1048573,"Maternity Leave",'LEAVE LOG'!G$1:G$1048573,"Approved")</f>
        <v>0</v>
      </c>
      <c r="H20">
        <f>SUMIFS('LEAVE LOG'!F$1:F$1048573,'LEAVE LOG'!B$1:B$1048573,A20,'LEAVE LOG'!C$1:C$1048573,"Marital Leave",'LEAVE LOG'!G$1:G$1048573,"Approved")</f>
        <v>0</v>
      </c>
      <c r="I20">
        <f>SUMIFS('LEAVE LOG'!F$1:F$1048573,'LEAVE LOG'!B$1:B$1048573,A20,'LEAVE LOG'!C$1:C$1048573,"Compassionate Leave",'LEAVE LOG'!G$1:G$1048573,"Approved")</f>
        <v>0</v>
      </c>
    </row>
    <row r="21" spans="1:9" x14ac:dyDescent="0.25">
      <c r="A21" t="str">
        <f>EMPLOYEES!B21</f>
        <v>Ajiboye Maruff Akinlabi</v>
      </c>
      <c r="B21">
        <f>SUMIFS('LEAVE LOG'!F$1:F$1048573,'LEAVE LOG'!B$1:B$1048573,A21,'LEAVE LOG'!C$1:C$1048573,"Sick Leave",'LEAVE LOG'!G$1:G$1048573,"Approved")</f>
        <v>0</v>
      </c>
      <c r="C21">
        <f t="shared" si="0"/>
        <v>5</v>
      </c>
      <c r="D21">
        <f>SUMIFS('LEAVE LOG'!F$1:F$1048573,'LEAVE LOG'!B$1:B$1048573,A21,'LEAVE LOG'!C$1:C$1048573,"Annual Leave",'LEAVE LOG'!G$1:G$1048573,"Approved")</f>
        <v>0</v>
      </c>
      <c r="E21">
        <f t="shared" si="1"/>
        <v>10</v>
      </c>
      <c r="F21">
        <f>SUMIFS('LEAVE LOG'!F$1:F$1048573,'LEAVE LOG'!B$1:B$1048573,A21,'LEAVE LOG'!C$1:C$1048573,"Paternity Leave",'LEAVE LOG'!G$1:G$1048573,"Approved")</f>
        <v>0</v>
      </c>
      <c r="G21">
        <f>SUMIFS('LEAVE LOG'!F$1:F$1048573,'LEAVE LOG'!B$1:B$1048573,A21,'LEAVE LOG'!C$1:C$1048573,"Maternity Leave",'LEAVE LOG'!G$1:G$1048573,"Approved")</f>
        <v>0</v>
      </c>
      <c r="H21">
        <f>SUMIFS('LEAVE LOG'!F$1:F$1048573,'LEAVE LOG'!B$1:B$1048573,A21,'LEAVE LOG'!C$1:C$1048573,"Marital Leave",'LEAVE LOG'!G$1:G$1048573,"Approved")</f>
        <v>0</v>
      </c>
      <c r="I21">
        <f>SUMIFS('LEAVE LOG'!F$1:F$1048573,'LEAVE LOG'!B$1:B$1048573,A21,'LEAVE LOG'!C$1:C$1048573,"Compassionate Leave",'LEAVE LOG'!G$1:G$1048573,"Approved")</f>
        <v>0</v>
      </c>
    </row>
    <row r="22" spans="1:9" x14ac:dyDescent="0.25">
      <c r="A22" t="str">
        <f>EMPLOYEES!B22</f>
        <v>Akadiri Oluwashogo Mark</v>
      </c>
      <c r="B22">
        <f>SUMIFS('LEAVE LOG'!F$1:F$1048573,'LEAVE LOG'!B$1:B$1048573,A22,'LEAVE LOG'!C$1:C$1048573,"Sick Leave",'LEAVE LOG'!G$1:G$1048573,"Approved")</f>
        <v>0</v>
      </c>
      <c r="C22">
        <f t="shared" si="0"/>
        <v>5</v>
      </c>
      <c r="D22">
        <f>SUMIFS('LEAVE LOG'!F$1:F$1048573,'LEAVE LOG'!B$1:B$1048573,A22,'LEAVE LOG'!C$1:C$1048573,"Annual Leave",'LEAVE LOG'!G$1:G$1048573,"Approved")</f>
        <v>0</v>
      </c>
      <c r="E22">
        <f t="shared" si="1"/>
        <v>10</v>
      </c>
      <c r="F22">
        <f>SUMIFS('LEAVE LOG'!F$1:F$1048573,'LEAVE LOG'!B$1:B$1048573,A22,'LEAVE LOG'!C$1:C$1048573,"Paternity Leave",'LEAVE LOG'!G$1:G$1048573,"Approved")</f>
        <v>0</v>
      </c>
      <c r="G22">
        <f>SUMIFS('LEAVE LOG'!F$1:F$1048573,'LEAVE LOG'!B$1:B$1048573,A22,'LEAVE LOG'!C$1:C$1048573,"Maternity Leave",'LEAVE LOG'!G$1:G$1048573,"Approved")</f>
        <v>0</v>
      </c>
      <c r="H22">
        <f>SUMIFS('LEAVE LOG'!F$1:F$1048573,'LEAVE LOG'!B$1:B$1048573,A22,'LEAVE LOG'!C$1:C$1048573,"Marital Leave",'LEAVE LOG'!G$1:G$1048573,"Approved")</f>
        <v>0</v>
      </c>
      <c r="I22">
        <f>SUMIFS('LEAVE LOG'!F$1:F$1048573,'LEAVE LOG'!B$1:B$1048573,A22,'LEAVE LOG'!C$1:C$1048573,"Compassionate Leave",'LEAVE LOG'!G$1:G$1048573,"Approved")</f>
        <v>0</v>
      </c>
    </row>
    <row r="23" spans="1:9" x14ac:dyDescent="0.25">
      <c r="A23" t="str">
        <f>EMPLOYEES!B23</f>
        <v>Akanbi Temidayo Oluwaseun</v>
      </c>
      <c r="B23">
        <f>SUMIFS('LEAVE LOG'!F$1:F$1048573,'LEAVE LOG'!B$1:B$1048573,A23,'LEAVE LOG'!C$1:C$1048573,"Sick Leave",'LEAVE LOG'!G$1:G$1048573,"Approved")</f>
        <v>0</v>
      </c>
      <c r="C23">
        <f t="shared" si="0"/>
        <v>5</v>
      </c>
      <c r="D23">
        <f>SUMIFS('LEAVE LOG'!F$1:F$1048573,'LEAVE LOG'!B$1:B$1048573,A23,'LEAVE LOG'!C$1:C$1048573,"Annual Leave",'LEAVE LOG'!G$1:G$1048573,"Approved")</f>
        <v>0</v>
      </c>
      <c r="E23">
        <f t="shared" si="1"/>
        <v>10</v>
      </c>
      <c r="F23">
        <f>SUMIFS('LEAVE LOG'!F$1:F$1048573,'LEAVE LOG'!B$1:B$1048573,A23,'LEAVE LOG'!C$1:C$1048573,"Paternity Leave",'LEAVE LOG'!G$1:G$1048573,"Approved")</f>
        <v>0</v>
      </c>
      <c r="G23">
        <f>SUMIFS('LEAVE LOG'!F$1:F$1048573,'LEAVE LOG'!B$1:B$1048573,A23,'LEAVE LOG'!C$1:C$1048573,"Maternity Leave",'LEAVE LOG'!G$1:G$1048573,"Approved")</f>
        <v>0</v>
      </c>
      <c r="H23">
        <f>SUMIFS('LEAVE LOG'!F$1:F$1048573,'LEAVE LOG'!B$1:B$1048573,A23,'LEAVE LOG'!C$1:C$1048573,"Marital Leave",'LEAVE LOG'!G$1:G$1048573,"Approved")</f>
        <v>0</v>
      </c>
      <c r="I23">
        <f>SUMIFS('LEAVE LOG'!F$1:F$1048573,'LEAVE LOG'!B$1:B$1048573,A23,'LEAVE LOG'!C$1:C$1048573,"Compassionate Leave",'LEAVE LOG'!G$1:G$1048573,"Approved")</f>
        <v>0</v>
      </c>
    </row>
    <row r="24" spans="1:9" x14ac:dyDescent="0.25">
      <c r="A24" t="str">
        <f>EMPLOYEES!B24</f>
        <v>Akanbi Yetunde Ebunlomo</v>
      </c>
      <c r="B24">
        <f>SUMIFS('LEAVE LOG'!F$1:F$1048573,'LEAVE LOG'!B$1:B$1048573,A24,'LEAVE LOG'!C$1:C$1048573,"Sick Leave",'LEAVE LOG'!G$1:G$1048573,"Approved")</f>
        <v>0</v>
      </c>
      <c r="C24">
        <f t="shared" si="0"/>
        <v>5</v>
      </c>
      <c r="D24">
        <f>SUMIFS('LEAVE LOG'!F$1:F$1048573,'LEAVE LOG'!B$1:B$1048573,A24,'LEAVE LOG'!C$1:C$1048573,"Annual Leave",'LEAVE LOG'!G$1:G$1048573,"Approved")</f>
        <v>0</v>
      </c>
      <c r="E24">
        <f t="shared" si="1"/>
        <v>10</v>
      </c>
      <c r="F24">
        <f>SUMIFS('LEAVE LOG'!F$1:F$1048573,'LEAVE LOG'!B$1:B$1048573,A24,'LEAVE LOG'!C$1:C$1048573,"Paternity Leave",'LEAVE LOG'!G$1:G$1048573,"Approved")</f>
        <v>0</v>
      </c>
      <c r="G24">
        <f>SUMIFS('LEAVE LOG'!F$1:F$1048573,'LEAVE LOG'!B$1:B$1048573,A24,'LEAVE LOG'!C$1:C$1048573,"Maternity Leave",'LEAVE LOG'!G$1:G$1048573,"Approved")</f>
        <v>0</v>
      </c>
      <c r="H24">
        <f>SUMIFS('LEAVE LOG'!F$1:F$1048573,'LEAVE LOG'!B$1:B$1048573,A24,'LEAVE LOG'!C$1:C$1048573,"Marital Leave",'LEAVE LOG'!G$1:G$1048573,"Approved")</f>
        <v>0</v>
      </c>
      <c r="I24">
        <f>SUMIFS('LEAVE LOG'!F$1:F$1048573,'LEAVE LOG'!B$1:B$1048573,A24,'LEAVE LOG'!C$1:C$1048573,"Compassionate Leave",'LEAVE LOG'!G$1:G$1048573,"Approved")</f>
        <v>0</v>
      </c>
    </row>
    <row r="25" spans="1:9" x14ac:dyDescent="0.25">
      <c r="A25" t="str">
        <f>EMPLOYEES!B25</f>
        <v>Akinbami Dayo</v>
      </c>
      <c r="B25">
        <f>SUMIFS('LEAVE LOG'!F$1:F$1048573,'LEAVE LOG'!B$1:B$1048573,A25,'LEAVE LOG'!C$1:C$1048573,"Sick Leave",'LEAVE LOG'!G$1:G$1048573,"Approved")</f>
        <v>0</v>
      </c>
      <c r="C25">
        <f t="shared" si="0"/>
        <v>5</v>
      </c>
      <c r="D25">
        <f>SUMIFS('LEAVE LOG'!F$1:F$1048573,'LEAVE LOG'!B$1:B$1048573,A25,'LEAVE LOG'!C$1:C$1048573,"Annual Leave",'LEAVE LOG'!G$1:G$1048573,"Approved")</f>
        <v>0</v>
      </c>
      <c r="E25">
        <f t="shared" si="1"/>
        <v>10</v>
      </c>
      <c r="F25">
        <f>SUMIFS('LEAVE LOG'!F$1:F$1048573,'LEAVE LOG'!B$1:B$1048573,A25,'LEAVE LOG'!C$1:C$1048573,"Paternity Leave",'LEAVE LOG'!G$1:G$1048573,"Approved")</f>
        <v>0</v>
      </c>
      <c r="G25">
        <f>SUMIFS('LEAVE LOG'!F$1:F$1048573,'LEAVE LOG'!B$1:B$1048573,A25,'LEAVE LOG'!C$1:C$1048573,"Maternity Leave",'LEAVE LOG'!G$1:G$1048573,"Approved")</f>
        <v>0</v>
      </c>
      <c r="H25">
        <f>SUMIFS('LEAVE LOG'!F$1:F$1048573,'LEAVE LOG'!B$1:B$1048573,A25,'LEAVE LOG'!C$1:C$1048573,"Marital Leave",'LEAVE LOG'!G$1:G$1048573,"Approved")</f>
        <v>0</v>
      </c>
      <c r="I25">
        <f>SUMIFS('LEAVE LOG'!F$1:F$1048573,'LEAVE LOG'!B$1:B$1048573,A25,'LEAVE LOG'!C$1:C$1048573,"Compassionate Leave",'LEAVE LOG'!G$1:G$1048573,"Approved")</f>
        <v>0</v>
      </c>
    </row>
    <row r="26" spans="1:9" x14ac:dyDescent="0.25">
      <c r="A26" t="str">
        <f>EMPLOYEES!B26</f>
        <v>Akomolafe Deborah Temidayo</v>
      </c>
      <c r="B26">
        <f>SUMIFS('LEAVE LOG'!F$1:F$1048573,'LEAVE LOG'!B$1:B$1048573,A26,'LEAVE LOG'!C$1:C$1048573,"Sick Leave",'LEAVE LOG'!G$1:G$1048573,"Approved")</f>
        <v>0</v>
      </c>
      <c r="C26">
        <f t="shared" si="0"/>
        <v>5</v>
      </c>
      <c r="D26">
        <f>SUMIFS('LEAVE LOG'!F$1:F$1048573,'LEAVE LOG'!B$1:B$1048573,A26,'LEAVE LOG'!C$1:C$1048573,"Annual Leave",'LEAVE LOG'!G$1:G$1048573,"Approved")</f>
        <v>0</v>
      </c>
      <c r="E26">
        <f t="shared" si="1"/>
        <v>10</v>
      </c>
      <c r="F26">
        <f>SUMIFS('LEAVE LOG'!F$1:F$1048573,'LEAVE LOG'!B$1:B$1048573,A26,'LEAVE LOG'!C$1:C$1048573,"Paternity Leave",'LEAVE LOG'!G$1:G$1048573,"Approved")</f>
        <v>0</v>
      </c>
      <c r="G26">
        <f>SUMIFS('LEAVE LOG'!F$1:F$1048573,'LEAVE LOG'!B$1:B$1048573,A26,'LEAVE LOG'!C$1:C$1048573,"Maternity Leave",'LEAVE LOG'!G$1:G$1048573,"Approved")</f>
        <v>0</v>
      </c>
      <c r="H26">
        <f>SUMIFS('LEAVE LOG'!F$1:F$1048573,'LEAVE LOG'!B$1:B$1048573,A26,'LEAVE LOG'!C$1:C$1048573,"Marital Leave",'LEAVE LOG'!G$1:G$1048573,"Approved")</f>
        <v>0</v>
      </c>
      <c r="I26">
        <f>SUMIFS('LEAVE LOG'!F$1:F$1048573,'LEAVE LOG'!B$1:B$1048573,A26,'LEAVE LOG'!C$1:C$1048573,"Compassionate Leave",'LEAVE LOG'!G$1:G$1048573,"Approved")</f>
        <v>0</v>
      </c>
    </row>
    <row r="27" spans="1:9" x14ac:dyDescent="0.25">
      <c r="A27" t="str">
        <f>EMPLOYEES!B27</f>
        <v>Alao Adetola Ezekiel</v>
      </c>
      <c r="B27">
        <f>SUMIFS('LEAVE LOG'!F$1:F$1048573,'LEAVE LOG'!B$1:B$1048573,A27,'LEAVE LOG'!C$1:C$1048573,"Sick Leave",'LEAVE LOG'!G$1:G$1048573,"Approved")</f>
        <v>0</v>
      </c>
      <c r="C27">
        <f t="shared" si="0"/>
        <v>5</v>
      </c>
      <c r="D27">
        <f>SUMIFS('LEAVE LOG'!F$1:F$1048573,'LEAVE LOG'!B$1:B$1048573,A27,'LEAVE LOG'!C$1:C$1048573,"Annual Leave",'LEAVE LOG'!G$1:G$1048573,"Approved")</f>
        <v>0</v>
      </c>
      <c r="E27">
        <f t="shared" si="1"/>
        <v>10</v>
      </c>
      <c r="F27">
        <f>SUMIFS('LEAVE LOG'!F$1:F$1048573,'LEAVE LOG'!B$1:B$1048573,A27,'LEAVE LOG'!C$1:C$1048573,"Paternity Leave",'LEAVE LOG'!G$1:G$1048573,"Approved")</f>
        <v>0</v>
      </c>
      <c r="G27">
        <f>SUMIFS('LEAVE LOG'!F$1:F$1048573,'LEAVE LOG'!B$1:B$1048573,A27,'LEAVE LOG'!C$1:C$1048573,"Maternity Leave",'LEAVE LOG'!G$1:G$1048573,"Approved")</f>
        <v>0</v>
      </c>
      <c r="H27">
        <f>SUMIFS('LEAVE LOG'!F$1:F$1048573,'LEAVE LOG'!B$1:B$1048573,A27,'LEAVE LOG'!C$1:C$1048573,"Marital Leave",'LEAVE LOG'!G$1:G$1048573,"Approved")</f>
        <v>0</v>
      </c>
      <c r="I27">
        <f>SUMIFS('LEAVE LOG'!F$1:F$1048573,'LEAVE LOG'!B$1:B$1048573,A27,'LEAVE LOG'!C$1:C$1048573,"Compassionate Leave",'LEAVE LOG'!G$1:G$1048573,"Approved")</f>
        <v>0</v>
      </c>
    </row>
    <row r="28" spans="1:9" x14ac:dyDescent="0.25">
      <c r="A28" t="str">
        <f>EMPLOYEES!B28</f>
        <v>Alumana marvelous gift</v>
      </c>
      <c r="B28">
        <f>SUMIFS('LEAVE LOG'!F$1:F$1048573,'LEAVE LOG'!B$1:B$1048573,A28,'LEAVE LOG'!C$1:C$1048573,"Sick Leave",'LEAVE LOG'!G$1:G$1048573,"Approved")</f>
        <v>0</v>
      </c>
      <c r="C28">
        <f t="shared" si="0"/>
        <v>5</v>
      </c>
      <c r="D28">
        <f>SUMIFS('LEAVE LOG'!F$1:F$1048573,'LEAVE LOG'!B$1:B$1048573,A28,'LEAVE LOG'!C$1:C$1048573,"Annual Leave",'LEAVE LOG'!G$1:G$1048573,"Approved")</f>
        <v>0</v>
      </c>
      <c r="E28">
        <f t="shared" si="1"/>
        <v>10</v>
      </c>
      <c r="F28">
        <f>SUMIFS('LEAVE LOG'!F$1:F$1048573,'LEAVE LOG'!B$1:B$1048573,A28,'LEAVE LOG'!C$1:C$1048573,"Paternity Leave",'LEAVE LOG'!G$1:G$1048573,"Approved")</f>
        <v>0</v>
      </c>
      <c r="G28">
        <f>SUMIFS('LEAVE LOG'!F$1:F$1048573,'LEAVE LOG'!B$1:B$1048573,A28,'LEAVE LOG'!C$1:C$1048573,"Maternity Leave",'LEAVE LOG'!G$1:G$1048573,"Approved")</f>
        <v>0</v>
      </c>
      <c r="H28">
        <f>SUMIFS('LEAVE LOG'!F$1:F$1048573,'LEAVE LOG'!B$1:B$1048573,A28,'LEAVE LOG'!C$1:C$1048573,"Marital Leave",'LEAVE LOG'!G$1:G$1048573,"Approved")</f>
        <v>0</v>
      </c>
      <c r="I28">
        <f>SUMIFS('LEAVE LOG'!F$1:F$1048573,'LEAVE LOG'!B$1:B$1048573,A28,'LEAVE LOG'!C$1:C$1048573,"Compassionate Leave",'LEAVE LOG'!G$1:G$1048573,"Approved")</f>
        <v>0</v>
      </c>
    </row>
    <row r="29" spans="1:9" x14ac:dyDescent="0.25">
      <c r="A29" t="str">
        <f>EMPLOYEES!B29</f>
        <v>Areelu Olayide</v>
      </c>
      <c r="B29">
        <f>SUMIFS('LEAVE LOG'!F$1:F$1048573,'LEAVE LOG'!B$1:B$1048573,A29,'LEAVE LOG'!C$1:C$1048573,"Sick Leave",'LEAVE LOG'!G$1:G$1048573,"Approved")</f>
        <v>0</v>
      </c>
      <c r="C29">
        <f t="shared" si="0"/>
        <v>5</v>
      </c>
      <c r="D29">
        <f>SUMIFS('LEAVE LOG'!F$1:F$1048573,'LEAVE LOG'!B$1:B$1048573,A29,'LEAVE LOG'!C$1:C$1048573,"Annual Leave",'LEAVE LOG'!G$1:G$1048573,"Approved")</f>
        <v>0</v>
      </c>
      <c r="E29">
        <f t="shared" si="1"/>
        <v>10</v>
      </c>
      <c r="F29">
        <f>SUMIFS('LEAVE LOG'!F$1:F$1048573,'LEAVE LOG'!B$1:B$1048573,A29,'LEAVE LOG'!C$1:C$1048573,"Paternity Leave",'LEAVE LOG'!G$1:G$1048573,"Approved")</f>
        <v>0</v>
      </c>
      <c r="G29">
        <f>SUMIFS('LEAVE LOG'!F$1:F$1048573,'LEAVE LOG'!B$1:B$1048573,A29,'LEAVE LOG'!C$1:C$1048573,"Maternity Leave",'LEAVE LOG'!G$1:G$1048573,"Approved")</f>
        <v>0</v>
      </c>
      <c r="H29">
        <f>SUMIFS('LEAVE LOG'!F$1:F$1048573,'LEAVE LOG'!B$1:B$1048573,A29,'LEAVE LOG'!C$1:C$1048573,"Marital Leave",'LEAVE LOG'!G$1:G$1048573,"Approved")</f>
        <v>0</v>
      </c>
      <c r="I29">
        <f>SUMIFS('LEAVE LOG'!F$1:F$1048573,'LEAVE LOG'!B$1:B$1048573,A29,'LEAVE LOG'!C$1:C$1048573,"Compassionate Leave",'LEAVE LOG'!G$1:G$1048573,"Approved")</f>
        <v>0</v>
      </c>
    </row>
    <row r="30" spans="1:9" x14ac:dyDescent="0.25">
      <c r="A30" t="str">
        <f>EMPLOYEES!B30</f>
        <v>Atobiloye Khadijat Olohuntoyin</v>
      </c>
      <c r="B30">
        <f>SUMIFS('LEAVE LOG'!F$1:F$1048573,'LEAVE LOG'!B$1:B$1048573,A30,'LEAVE LOG'!C$1:C$1048573,"Sick Leave",'LEAVE LOG'!G$1:G$1048573,"Approved")</f>
        <v>0</v>
      </c>
      <c r="C30">
        <f t="shared" si="0"/>
        <v>5</v>
      </c>
      <c r="D30">
        <f>SUMIFS('LEAVE LOG'!F$1:F$1048573,'LEAVE LOG'!B$1:B$1048573,A30,'LEAVE LOG'!C$1:C$1048573,"Annual Leave",'LEAVE LOG'!G$1:G$1048573,"Approved")</f>
        <v>0</v>
      </c>
      <c r="E30">
        <f t="shared" si="1"/>
        <v>10</v>
      </c>
      <c r="F30">
        <f>SUMIFS('LEAVE LOG'!F$1:F$1048573,'LEAVE LOG'!B$1:B$1048573,A30,'LEAVE LOG'!C$1:C$1048573,"Paternity Leave",'LEAVE LOG'!G$1:G$1048573,"Approved")</f>
        <v>0</v>
      </c>
      <c r="G30">
        <f>SUMIFS('LEAVE LOG'!F$1:F$1048573,'LEAVE LOG'!B$1:B$1048573,A30,'LEAVE LOG'!C$1:C$1048573,"Maternity Leave",'LEAVE LOG'!G$1:G$1048573,"Approved")</f>
        <v>0</v>
      </c>
      <c r="H30">
        <f>SUMIFS('LEAVE LOG'!F$1:F$1048573,'LEAVE LOG'!B$1:B$1048573,A30,'LEAVE LOG'!C$1:C$1048573,"Marital Leave",'LEAVE LOG'!G$1:G$1048573,"Approved")</f>
        <v>0</v>
      </c>
      <c r="I30">
        <f>SUMIFS('LEAVE LOG'!F$1:F$1048573,'LEAVE LOG'!B$1:B$1048573,A30,'LEAVE LOG'!C$1:C$1048573,"Compassionate Leave",'LEAVE LOG'!G$1:G$1048573,"Approved")</f>
        <v>0</v>
      </c>
    </row>
    <row r="31" spans="1:9" x14ac:dyDescent="0.25">
      <c r="A31" t="str">
        <f>EMPLOYEES!B31</f>
        <v>Awoyemi Emmanuel kolawole</v>
      </c>
      <c r="B31">
        <f>SUMIFS('LEAVE LOG'!F$1:F$1048573,'LEAVE LOG'!B$1:B$1048573,A31,'LEAVE LOG'!C$1:C$1048573,"Sick Leave",'LEAVE LOG'!G$1:G$1048573,"Approved")</f>
        <v>0</v>
      </c>
      <c r="C31">
        <f t="shared" si="0"/>
        <v>5</v>
      </c>
      <c r="D31">
        <f>SUMIFS('LEAVE LOG'!F$1:F$1048573,'LEAVE LOG'!B$1:B$1048573,A31,'LEAVE LOG'!C$1:C$1048573,"Annual Leave",'LEAVE LOG'!G$1:G$1048573,"Approved")</f>
        <v>0</v>
      </c>
      <c r="E31">
        <f t="shared" si="1"/>
        <v>10</v>
      </c>
      <c r="F31">
        <f>SUMIFS('LEAVE LOG'!F$1:F$1048573,'LEAVE LOG'!B$1:B$1048573,A31,'LEAVE LOG'!C$1:C$1048573,"Paternity Leave",'LEAVE LOG'!G$1:G$1048573,"Approved")</f>
        <v>0</v>
      </c>
      <c r="G31">
        <f>SUMIFS('LEAVE LOG'!F$1:F$1048573,'LEAVE LOG'!B$1:B$1048573,A31,'LEAVE LOG'!C$1:C$1048573,"Maternity Leave",'LEAVE LOG'!G$1:G$1048573,"Approved")</f>
        <v>0</v>
      </c>
      <c r="H31">
        <f>SUMIFS('LEAVE LOG'!F$1:F$1048573,'LEAVE LOG'!B$1:B$1048573,A31,'LEAVE LOG'!C$1:C$1048573,"Marital Leave",'LEAVE LOG'!G$1:G$1048573,"Approved")</f>
        <v>0</v>
      </c>
      <c r="I31">
        <f>SUMIFS('LEAVE LOG'!F$1:F$1048573,'LEAVE LOG'!B$1:B$1048573,A31,'LEAVE LOG'!C$1:C$1048573,"Compassionate Leave",'LEAVE LOG'!G$1:G$1048573,"Approved")</f>
        <v>0</v>
      </c>
    </row>
    <row r="32" spans="1:9" x14ac:dyDescent="0.25">
      <c r="A32" t="str">
        <f>EMPLOYEES!B32</f>
        <v>Ayegba Peter</v>
      </c>
      <c r="B32">
        <f>SUMIFS('LEAVE LOG'!F$1:F$1048573,'LEAVE LOG'!B$1:B$1048573,A32,'LEAVE LOG'!C$1:C$1048573,"Sick Leave",'LEAVE LOG'!G$1:G$1048573,"Approved")</f>
        <v>0</v>
      </c>
      <c r="C32">
        <f t="shared" si="0"/>
        <v>5</v>
      </c>
      <c r="D32">
        <f>SUMIFS('LEAVE LOG'!F$1:F$1048573,'LEAVE LOG'!B$1:B$1048573,A32,'LEAVE LOG'!C$1:C$1048573,"Annual Leave",'LEAVE LOG'!G$1:G$1048573,"Approved")</f>
        <v>0</v>
      </c>
      <c r="E32">
        <f t="shared" si="1"/>
        <v>10</v>
      </c>
      <c r="F32">
        <f>SUMIFS('LEAVE LOG'!F$1:F$1048573,'LEAVE LOG'!B$1:B$1048573,A32,'LEAVE LOG'!C$1:C$1048573,"Paternity Leave",'LEAVE LOG'!G$1:G$1048573,"Approved")</f>
        <v>0</v>
      </c>
      <c r="G32">
        <f>SUMIFS('LEAVE LOG'!F$1:F$1048573,'LEAVE LOG'!B$1:B$1048573,A32,'LEAVE LOG'!C$1:C$1048573,"Maternity Leave",'LEAVE LOG'!G$1:G$1048573,"Approved")</f>
        <v>0</v>
      </c>
      <c r="H32">
        <f>SUMIFS('LEAVE LOG'!F$1:F$1048573,'LEAVE LOG'!B$1:B$1048573,A32,'LEAVE LOG'!C$1:C$1048573,"Marital Leave",'LEAVE LOG'!G$1:G$1048573,"Approved")</f>
        <v>0</v>
      </c>
      <c r="I32">
        <f>SUMIFS('LEAVE LOG'!F$1:F$1048573,'LEAVE LOG'!B$1:B$1048573,A32,'LEAVE LOG'!C$1:C$1048573,"Compassionate Leave",'LEAVE LOG'!G$1:G$1048573,"Approved")</f>
        <v>0</v>
      </c>
    </row>
    <row r="33" spans="1:9" x14ac:dyDescent="0.25">
      <c r="A33" t="str">
        <f>EMPLOYEES!B33</f>
        <v>Ayeni Abiodun Opeyemi</v>
      </c>
      <c r="B33">
        <f>SUMIFS('LEAVE LOG'!F$1:F$1048573,'LEAVE LOG'!B$1:B$1048573,A33,'LEAVE LOG'!C$1:C$1048573,"Sick Leave",'LEAVE LOG'!G$1:G$1048573,"Approved")</f>
        <v>0</v>
      </c>
      <c r="C33">
        <f t="shared" si="0"/>
        <v>5</v>
      </c>
      <c r="D33">
        <f>SUMIFS('LEAVE LOG'!F$1:F$1048573,'LEAVE LOG'!B$1:B$1048573,A33,'LEAVE LOG'!C$1:C$1048573,"Annual Leave",'LEAVE LOG'!G$1:G$1048573,"Approved")</f>
        <v>0</v>
      </c>
      <c r="E33">
        <f t="shared" si="1"/>
        <v>10</v>
      </c>
      <c r="F33">
        <f>SUMIFS('LEAVE LOG'!F$1:F$1048573,'LEAVE LOG'!B$1:B$1048573,A33,'LEAVE LOG'!C$1:C$1048573,"Paternity Leave",'LEAVE LOG'!G$1:G$1048573,"Approved")</f>
        <v>0</v>
      </c>
      <c r="G33">
        <f>SUMIFS('LEAVE LOG'!F$1:F$1048573,'LEAVE LOG'!B$1:B$1048573,A33,'LEAVE LOG'!C$1:C$1048573,"Maternity Leave",'LEAVE LOG'!G$1:G$1048573,"Approved")</f>
        <v>0</v>
      </c>
      <c r="H33">
        <f>SUMIFS('LEAVE LOG'!F$1:F$1048573,'LEAVE LOG'!B$1:B$1048573,A33,'LEAVE LOG'!C$1:C$1048573,"Marital Leave",'LEAVE LOG'!G$1:G$1048573,"Approved")</f>
        <v>0</v>
      </c>
      <c r="I33">
        <f>SUMIFS('LEAVE LOG'!F$1:F$1048573,'LEAVE LOG'!B$1:B$1048573,A33,'LEAVE LOG'!C$1:C$1048573,"Compassionate Leave",'LEAVE LOG'!G$1:G$1048573,"Approved")</f>
        <v>0</v>
      </c>
    </row>
    <row r="34" spans="1:9" x14ac:dyDescent="0.25">
      <c r="A34" t="str">
        <f>EMPLOYEES!B34</f>
        <v>Ayeni Tosin</v>
      </c>
      <c r="B34">
        <f>SUMIFS('LEAVE LOG'!F$1:F$1048573,'LEAVE LOG'!B$1:B$1048573,A34,'LEAVE LOG'!C$1:C$1048573,"Sick Leave",'LEAVE LOG'!G$1:G$1048573,"Approved")</f>
        <v>0</v>
      </c>
      <c r="C34">
        <f t="shared" si="0"/>
        <v>5</v>
      </c>
      <c r="D34">
        <f>SUMIFS('LEAVE LOG'!F$1:F$1048573,'LEAVE LOG'!B$1:B$1048573,A34,'LEAVE LOG'!C$1:C$1048573,"Annual Leave",'LEAVE LOG'!G$1:G$1048573,"Approved")</f>
        <v>0</v>
      </c>
      <c r="E34">
        <f t="shared" si="1"/>
        <v>10</v>
      </c>
      <c r="F34">
        <f>SUMIFS('LEAVE LOG'!F$1:F$1048573,'LEAVE LOG'!B$1:B$1048573,A34,'LEAVE LOG'!C$1:C$1048573,"Paternity Leave",'LEAVE LOG'!G$1:G$1048573,"Approved")</f>
        <v>0</v>
      </c>
      <c r="G34">
        <f>SUMIFS('LEAVE LOG'!F$1:F$1048573,'LEAVE LOG'!B$1:B$1048573,A34,'LEAVE LOG'!C$1:C$1048573,"Maternity Leave",'LEAVE LOG'!G$1:G$1048573,"Approved")</f>
        <v>0</v>
      </c>
      <c r="H34">
        <f>SUMIFS('LEAVE LOG'!F$1:F$1048573,'LEAVE LOG'!B$1:B$1048573,A34,'LEAVE LOG'!C$1:C$1048573,"Marital Leave",'LEAVE LOG'!G$1:G$1048573,"Approved")</f>
        <v>0</v>
      </c>
      <c r="I34">
        <f>SUMIFS('LEAVE LOG'!F$1:F$1048573,'LEAVE LOG'!B$1:B$1048573,A34,'LEAVE LOG'!C$1:C$1048573,"Compassionate Leave",'LEAVE LOG'!G$1:G$1048573,"Approved")</f>
        <v>0</v>
      </c>
    </row>
    <row r="35" spans="1:9" x14ac:dyDescent="0.25">
      <c r="A35" t="str">
        <f>EMPLOYEES!B35</f>
        <v>Ayinla Sulaiman Olaitan</v>
      </c>
      <c r="B35">
        <f>SUMIFS('LEAVE LOG'!F$1:F$1048573,'LEAVE LOG'!B$1:B$1048573,A35,'LEAVE LOG'!C$1:C$1048573,"Sick Leave",'LEAVE LOG'!G$1:G$1048573,"Approved")</f>
        <v>0</v>
      </c>
      <c r="C35">
        <f t="shared" si="0"/>
        <v>5</v>
      </c>
      <c r="D35">
        <f>SUMIFS('LEAVE LOG'!F$1:F$1048573,'LEAVE LOG'!B$1:B$1048573,A35,'LEAVE LOG'!C$1:C$1048573,"Annual Leave",'LEAVE LOG'!G$1:G$1048573,"Approved")</f>
        <v>0</v>
      </c>
      <c r="E35">
        <f t="shared" si="1"/>
        <v>10</v>
      </c>
      <c r="F35">
        <f>SUMIFS('LEAVE LOG'!F$1:F$1048573,'LEAVE LOG'!B$1:B$1048573,A35,'LEAVE LOG'!C$1:C$1048573,"Paternity Leave",'LEAVE LOG'!G$1:G$1048573,"Approved")</f>
        <v>0</v>
      </c>
      <c r="G35">
        <f>SUMIFS('LEAVE LOG'!F$1:F$1048573,'LEAVE LOG'!B$1:B$1048573,A35,'LEAVE LOG'!C$1:C$1048573,"Maternity Leave",'LEAVE LOG'!G$1:G$1048573,"Approved")</f>
        <v>0</v>
      </c>
      <c r="H35">
        <f>SUMIFS('LEAVE LOG'!F$1:F$1048573,'LEAVE LOG'!B$1:B$1048573,A35,'LEAVE LOG'!C$1:C$1048573,"Marital Leave",'LEAVE LOG'!G$1:G$1048573,"Approved")</f>
        <v>0</v>
      </c>
      <c r="I35">
        <f>SUMIFS('LEAVE LOG'!F$1:F$1048573,'LEAVE LOG'!B$1:B$1048573,A35,'LEAVE LOG'!C$1:C$1048573,"Compassionate Leave",'LEAVE LOG'!G$1:G$1048573,"Approved")</f>
        <v>0</v>
      </c>
    </row>
    <row r="36" spans="1:9" x14ac:dyDescent="0.25">
      <c r="A36" t="str">
        <f>EMPLOYEES!B36</f>
        <v>Ayoade Abiodun</v>
      </c>
      <c r="B36">
        <f>SUMIFS('LEAVE LOG'!F$1:F$1048573,'LEAVE LOG'!B$1:B$1048573,A36,'LEAVE LOG'!C$1:C$1048573,"Sick Leave",'LEAVE LOG'!G$1:G$1048573,"Approved")</f>
        <v>0</v>
      </c>
      <c r="C36">
        <f t="shared" si="0"/>
        <v>5</v>
      </c>
      <c r="D36">
        <f>SUMIFS('LEAVE LOG'!F$1:F$1048573,'LEAVE LOG'!B$1:B$1048573,A36,'LEAVE LOG'!C$1:C$1048573,"Annual Leave",'LEAVE LOG'!G$1:G$1048573,"Approved")</f>
        <v>0</v>
      </c>
      <c r="E36">
        <f t="shared" si="1"/>
        <v>10</v>
      </c>
      <c r="F36">
        <f>SUMIFS('LEAVE LOG'!F$1:F$1048573,'LEAVE LOG'!B$1:B$1048573,A36,'LEAVE LOG'!C$1:C$1048573,"Paternity Leave",'LEAVE LOG'!G$1:G$1048573,"Approved")</f>
        <v>0</v>
      </c>
      <c r="G36">
        <f>SUMIFS('LEAVE LOG'!F$1:F$1048573,'LEAVE LOG'!B$1:B$1048573,A36,'LEAVE LOG'!C$1:C$1048573,"Maternity Leave",'LEAVE LOG'!G$1:G$1048573,"Approved")</f>
        <v>0</v>
      </c>
      <c r="H36">
        <f>SUMIFS('LEAVE LOG'!F$1:F$1048573,'LEAVE LOG'!B$1:B$1048573,A36,'LEAVE LOG'!C$1:C$1048573,"Marital Leave",'LEAVE LOG'!G$1:G$1048573,"Approved")</f>
        <v>0</v>
      </c>
      <c r="I36">
        <f>SUMIFS('LEAVE LOG'!F$1:F$1048573,'LEAVE LOG'!B$1:B$1048573,A36,'LEAVE LOG'!C$1:C$1048573,"Compassionate Leave",'LEAVE LOG'!G$1:G$1048573,"Approved")</f>
        <v>0</v>
      </c>
    </row>
    <row r="37" spans="1:9" x14ac:dyDescent="0.25">
      <c r="A37" t="str">
        <f>EMPLOYEES!B37</f>
        <v>Babatunde Sulaiman Ajibade</v>
      </c>
      <c r="B37">
        <f>SUMIFS('LEAVE LOG'!F$1:F$1048573,'LEAVE LOG'!B$1:B$1048573,A37,'LEAVE LOG'!C$1:C$1048573,"Sick Leave",'LEAVE LOG'!G$1:G$1048573,"Approved")</f>
        <v>0</v>
      </c>
      <c r="C37">
        <f t="shared" si="0"/>
        <v>5</v>
      </c>
      <c r="D37">
        <f>SUMIFS('LEAVE LOG'!F$1:F$1048573,'LEAVE LOG'!B$1:B$1048573,A37,'LEAVE LOG'!C$1:C$1048573,"Annual Leave",'LEAVE LOG'!G$1:G$1048573,"Approved")</f>
        <v>0</v>
      </c>
      <c r="E37">
        <f t="shared" si="1"/>
        <v>10</v>
      </c>
      <c r="F37">
        <f>SUMIFS('LEAVE LOG'!F$1:F$1048573,'LEAVE LOG'!B$1:B$1048573,A37,'LEAVE LOG'!C$1:C$1048573,"Paternity Leave",'LEAVE LOG'!G$1:G$1048573,"Approved")</f>
        <v>0</v>
      </c>
      <c r="G37">
        <f>SUMIFS('LEAVE LOG'!F$1:F$1048573,'LEAVE LOG'!B$1:B$1048573,A37,'LEAVE LOG'!C$1:C$1048573,"Maternity Leave",'LEAVE LOG'!G$1:G$1048573,"Approved")</f>
        <v>0</v>
      </c>
      <c r="H37">
        <f>SUMIFS('LEAVE LOG'!F$1:F$1048573,'LEAVE LOG'!B$1:B$1048573,A37,'LEAVE LOG'!C$1:C$1048573,"Marital Leave",'LEAVE LOG'!G$1:G$1048573,"Approved")</f>
        <v>0</v>
      </c>
      <c r="I37">
        <f>SUMIFS('LEAVE LOG'!F$1:F$1048573,'LEAVE LOG'!B$1:B$1048573,A37,'LEAVE LOG'!C$1:C$1048573,"Compassionate Leave",'LEAVE LOG'!G$1:G$1048573,"Approved")</f>
        <v>0</v>
      </c>
    </row>
    <row r="38" spans="1:9" x14ac:dyDescent="0.25">
      <c r="A38" t="str">
        <f>EMPLOYEES!B38</f>
        <v>Bamidele Bukola tajudeen</v>
      </c>
      <c r="B38">
        <f>SUMIFS('LEAVE LOG'!F$1:F$1048573,'LEAVE LOG'!B$1:B$1048573,A38,'LEAVE LOG'!C$1:C$1048573,"Sick Leave",'LEAVE LOG'!G$1:G$1048573,"Approved")</f>
        <v>0</v>
      </c>
      <c r="C38">
        <f t="shared" si="0"/>
        <v>5</v>
      </c>
      <c r="D38">
        <f>SUMIFS('LEAVE LOG'!F$1:F$1048573,'LEAVE LOG'!B$1:B$1048573,A38,'LEAVE LOG'!C$1:C$1048573,"Annual Leave",'LEAVE LOG'!G$1:G$1048573,"Approved")</f>
        <v>0</v>
      </c>
      <c r="E38">
        <f t="shared" si="1"/>
        <v>10</v>
      </c>
      <c r="F38">
        <f>SUMIFS('LEAVE LOG'!F$1:F$1048573,'LEAVE LOG'!B$1:B$1048573,A38,'LEAVE LOG'!C$1:C$1048573,"Paternity Leave",'LEAVE LOG'!G$1:G$1048573,"Approved")</f>
        <v>0</v>
      </c>
      <c r="G38">
        <f>SUMIFS('LEAVE LOG'!F$1:F$1048573,'LEAVE LOG'!B$1:B$1048573,A38,'LEAVE LOG'!C$1:C$1048573,"Maternity Leave",'LEAVE LOG'!G$1:G$1048573,"Approved")</f>
        <v>0</v>
      </c>
      <c r="H38">
        <f>SUMIFS('LEAVE LOG'!F$1:F$1048573,'LEAVE LOG'!B$1:B$1048573,A38,'LEAVE LOG'!C$1:C$1048573,"Marital Leave",'LEAVE LOG'!G$1:G$1048573,"Approved")</f>
        <v>0</v>
      </c>
      <c r="I38">
        <f>SUMIFS('LEAVE LOG'!F$1:F$1048573,'LEAVE LOG'!B$1:B$1048573,A38,'LEAVE LOG'!C$1:C$1048573,"Compassionate Leave",'LEAVE LOG'!G$1:G$1048573,"Approved")</f>
        <v>0</v>
      </c>
    </row>
    <row r="39" spans="1:9" x14ac:dyDescent="0.25">
      <c r="A39" t="str">
        <f>EMPLOYEES!B39</f>
        <v>Biliaminu Roheemoh Oreoluwa</v>
      </c>
      <c r="B39">
        <f>SUMIFS('LEAVE LOG'!F$1:F$1048573,'LEAVE LOG'!B$1:B$1048573,A39,'LEAVE LOG'!C$1:C$1048573,"Sick Leave",'LEAVE LOG'!G$1:G$1048573,"Approved")</f>
        <v>0</v>
      </c>
      <c r="C39">
        <f t="shared" si="0"/>
        <v>5</v>
      </c>
      <c r="D39">
        <f>SUMIFS('LEAVE LOG'!F$1:F$1048573,'LEAVE LOG'!B$1:B$1048573,A39,'LEAVE LOG'!C$1:C$1048573,"Annual Leave",'LEAVE LOG'!G$1:G$1048573,"Approved")</f>
        <v>0</v>
      </c>
      <c r="E39">
        <f t="shared" si="1"/>
        <v>10</v>
      </c>
      <c r="F39">
        <f>SUMIFS('LEAVE LOG'!F$1:F$1048573,'LEAVE LOG'!B$1:B$1048573,A39,'LEAVE LOG'!C$1:C$1048573,"Paternity Leave",'LEAVE LOG'!G$1:G$1048573,"Approved")</f>
        <v>0</v>
      </c>
      <c r="G39">
        <f>SUMIFS('LEAVE LOG'!F$1:F$1048573,'LEAVE LOG'!B$1:B$1048573,A39,'LEAVE LOG'!C$1:C$1048573,"Maternity Leave",'LEAVE LOG'!G$1:G$1048573,"Approved")</f>
        <v>0</v>
      </c>
      <c r="H39">
        <f>SUMIFS('LEAVE LOG'!F$1:F$1048573,'LEAVE LOG'!B$1:B$1048573,A39,'LEAVE LOG'!C$1:C$1048573,"Marital Leave",'LEAVE LOG'!G$1:G$1048573,"Approved")</f>
        <v>0</v>
      </c>
      <c r="I39">
        <f>SUMIFS('LEAVE LOG'!F$1:F$1048573,'LEAVE LOG'!B$1:B$1048573,A39,'LEAVE LOG'!C$1:C$1048573,"Compassionate Leave",'LEAVE LOG'!G$1:G$1048573,"Approved")</f>
        <v>0</v>
      </c>
    </row>
    <row r="40" spans="1:9" x14ac:dyDescent="0.25">
      <c r="A40" t="str">
        <f>EMPLOYEES!B40</f>
        <v>Boluwatife Omoniyi</v>
      </c>
      <c r="B40">
        <f>SUMIFS('LEAVE LOG'!F$1:F$1048573,'LEAVE LOG'!B$1:B$1048573,A40,'LEAVE LOG'!C$1:C$1048573,"Sick Leave",'LEAVE LOG'!G$1:G$1048573,"Approved")</f>
        <v>3</v>
      </c>
      <c r="C40">
        <f t="shared" si="0"/>
        <v>2</v>
      </c>
      <c r="D40">
        <f>SUMIFS('LEAVE LOG'!F$1:F$1048573,'LEAVE LOG'!B$1:B$1048573,A40,'LEAVE LOG'!C$1:C$1048573,"Annual Leave",'LEAVE LOG'!G$1:G$1048573,"Approved")</f>
        <v>0</v>
      </c>
      <c r="E40">
        <f t="shared" si="1"/>
        <v>10</v>
      </c>
      <c r="F40">
        <f>SUMIFS('LEAVE LOG'!F$1:F$1048573,'LEAVE LOG'!B$1:B$1048573,A40,'LEAVE LOG'!C$1:C$1048573,"Paternity Leave",'LEAVE LOG'!G$1:G$1048573,"Approved")</f>
        <v>0</v>
      </c>
      <c r="G40">
        <f>SUMIFS('LEAVE LOG'!F$1:F$1048573,'LEAVE LOG'!B$1:B$1048573,A40,'LEAVE LOG'!C$1:C$1048573,"Maternity Leave",'LEAVE LOG'!G$1:G$1048573,"Approved")</f>
        <v>0</v>
      </c>
      <c r="H40">
        <f>SUMIFS('LEAVE LOG'!F$1:F$1048573,'LEAVE LOG'!B$1:B$1048573,A40,'LEAVE LOG'!C$1:C$1048573,"Marital Leave",'LEAVE LOG'!G$1:G$1048573,"Approved")</f>
        <v>0</v>
      </c>
      <c r="I40">
        <f>SUMIFS('LEAVE LOG'!F$1:F$1048573,'LEAVE LOG'!B$1:B$1048573,A40,'LEAVE LOG'!C$1:C$1048573,"Compassionate Leave",'LEAVE LOG'!G$1:G$1048573,"Approved")</f>
        <v>0</v>
      </c>
    </row>
    <row r="41" spans="1:9" x14ac:dyDescent="0.25">
      <c r="A41" t="str">
        <f>EMPLOYEES!B41</f>
        <v>Bulus Olayemi Bitrus</v>
      </c>
      <c r="B41">
        <f>SUMIFS('LEAVE LOG'!F$1:F$1048573,'LEAVE LOG'!B$1:B$1048573,A41,'LEAVE LOG'!C$1:C$1048573,"Sick Leave",'LEAVE LOG'!G$1:G$1048573,"Approved")</f>
        <v>0</v>
      </c>
      <c r="C41">
        <f t="shared" si="0"/>
        <v>5</v>
      </c>
      <c r="D41">
        <f>SUMIFS('LEAVE LOG'!F$1:F$1048573,'LEAVE LOG'!B$1:B$1048573,A41,'LEAVE LOG'!C$1:C$1048573,"Annual Leave",'LEAVE LOG'!G$1:G$1048573,"Approved")</f>
        <v>0</v>
      </c>
      <c r="E41">
        <f t="shared" si="1"/>
        <v>10</v>
      </c>
      <c r="F41">
        <f>SUMIFS('LEAVE LOG'!F$1:F$1048573,'LEAVE LOG'!B$1:B$1048573,A41,'LEAVE LOG'!C$1:C$1048573,"Paternity Leave",'LEAVE LOG'!G$1:G$1048573,"Approved")</f>
        <v>0</v>
      </c>
      <c r="G41">
        <f>SUMIFS('LEAVE LOG'!F$1:F$1048573,'LEAVE LOG'!B$1:B$1048573,A41,'LEAVE LOG'!C$1:C$1048573,"Maternity Leave",'LEAVE LOG'!G$1:G$1048573,"Approved")</f>
        <v>0</v>
      </c>
      <c r="H41">
        <f>SUMIFS('LEAVE LOG'!F$1:F$1048573,'LEAVE LOG'!B$1:B$1048573,A41,'LEAVE LOG'!C$1:C$1048573,"Marital Leave",'LEAVE LOG'!G$1:G$1048573,"Approved")</f>
        <v>0</v>
      </c>
      <c r="I41">
        <f>SUMIFS('LEAVE LOG'!F$1:F$1048573,'LEAVE LOG'!B$1:B$1048573,A41,'LEAVE LOG'!C$1:C$1048573,"Compassionate Leave",'LEAVE LOG'!G$1:G$1048573,"Approved")</f>
        <v>0</v>
      </c>
    </row>
    <row r="42" spans="1:9" x14ac:dyDescent="0.25">
      <c r="A42" t="str">
        <f>EMPLOYEES!B42</f>
        <v>Damilola Oluwapelumi Afolabi</v>
      </c>
      <c r="B42">
        <f>SUMIFS('LEAVE LOG'!F$1:F$1048573,'LEAVE LOG'!B$1:B$1048573,A42,'LEAVE LOG'!C$1:C$1048573,"Sick Leave",'LEAVE LOG'!G$1:G$1048573,"Approved")</f>
        <v>0</v>
      </c>
      <c r="C42">
        <f t="shared" si="0"/>
        <v>5</v>
      </c>
      <c r="D42">
        <f>SUMIFS('LEAVE LOG'!F$1:F$1048573,'LEAVE LOG'!B$1:B$1048573,A42,'LEAVE LOG'!C$1:C$1048573,"Annual Leave",'LEAVE LOG'!G$1:G$1048573,"Approved")</f>
        <v>0</v>
      </c>
      <c r="E42">
        <f t="shared" si="1"/>
        <v>10</v>
      </c>
      <c r="F42">
        <f>SUMIFS('LEAVE LOG'!F$1:F$1048573,'LEAVE LOG'!B$1:B$1048573,A42,'LEAVE LOG'!C$1:C$1048573,"Paternity Leave",'LEAVE LOG'!G$1:G$1048573,"Approved")</f>
        <v>0</v>
      </c>
      <c r="G42">
        <f>SUMIFS('LEAVE LOG'!F$1:F$1048573,'LEAVE LOG'!B$1:B$1048573,A42,'LEAVE LOG'!C$1:C$1048573,"Maternity Leave",'LEAVE LOG'!G$1:G$1048573,"Approved")</f>
        <v>0</v>
      </c>
      <c r="H42">
        <f>SUMIFS('LEAVE LOG'!F$1:F$1048573,'LEAVE LOG'!B$1:B$1048573,A42,'LEAVE LOG'!C$1:C$1048573,"Marital Leave",'LEAVE LOG'!G$1:G$1048573,"Approved")</f>
        <v>0</v>
      </c>
      <c r="I42">
        <f>SUMIFS('LEAVE LOG'!F$1:F$1048573,'LEAVE LOG'!B$1:B$1048573,A42,'LEAVE LOG'!C$1:C$1048573,"Compassionate Leave",'LEAVE LOG'!G$1:G$1048573,"Approved")</f>
        <v>0</v>
      </c>
    </row>
    <row r="43" spans="1:9" x14ac:dyDescent="0.25">
      <c r="A43" t="str">
        <f>EMPLOYEES!B43</f>
        <v>David Esther Oluwadamilola</v>
      </c>
      <c r="B43">
        <f>SUMIFS('LEAVE LOG'!F$1:F$1048573,'LEAVE LOG'!B$1:B$1048573,A43,'LEAVE LOG'!C$1:C$1048573,"Sick Leave",'LEAVE LOG'!G$1:G$1048573,"Approved")</f>
        <v>0</v>
      </c>
      <c r="C43">
        <f t="shared" si="0"/>
        <v>5</v>
      </c>
      <c r="D43">
        <f>SUMIFS('LEAVE LOG'!F$1:F$1048573,'LEAVE LOG'!B$1:B$1048573,A43,'LEAVE LOG'!C$1:C$1048573,"Annual Leave",'LEAVE LOG'!G$1:G$1048573,"Approved")</f>
        <v>0</v>
      </c>
      <c r="E43">
        <f t="shared" si="1"/>
        <v>10</v>
      </c>
      <c r="F43">
        <f>SUMIFS('LEAVE LOG'!F$1:F$1048573,'LEAVE LOG'!B$1:B$1048573,A43,'LEAVE LOG'!C$1:C$1048573,"Paternity Leave",'LEAVE LOG'!G$1:G$1048573,"Approved")</f>
        <v>0</v>
      </c>
      <c r="G43">
        <f>SUMIFS('LEAVE LOG'!F$1:F$1048573,'LEAVE LOG'!B$1:B$1048573,A43,'LEAVE LOG'!C$1:C$1048573,"Maternity Leave",'LEAVE LOG'!G$1:G$1048573,"Approved")</f>
        <v>0</v>
      </c>
      <c r="H43">
        <f>SUMIFS('LEAVE LOG'!F$1:F$1048573,'LEAVE LOG'!B$1:B$1048573,A43,'LEAVE LOG'!C$1:C$1048573,"Marital Leave",'LEAVE LOG'!G$1:G$1048573,"Approved")</f>
        <v>0</v>
      </c>
      <c r="I43">
        <f>SUMIFS('LEAVE LOG'!F$1:F$1048573,'LEAVE LOG'!B$1:B$1048573,A43,'LEAVE LOG'!C$1:C$1048573,"Compassionate Leave",'LEAVE LOG'!G$1:G$1048573,"Approved")</f>
        <v>0</v>
      </c>
    </row>
    <row r="44" spans="1:9" x14ac:dyDescent="0.25">
      <c r="A44" t="str">
        <f>EMPLOYEES!B44</f>
        <v>Esther Damilola Adeoti</v>
      </c>
      <c r="B44">
        <f>SUMIFS('LEAVE LOG'!F$1:F$1048573,'LEAVE LOG'!B$1:B$1048573,A44,'LEAVE LOG'!C$1:C$1048573,"Sick Leave",'LEAVE LOG'!G$1:G$1048573,"Approved")</f>
        <v>0</v>
      </c>
      <c r="C44">
        <f t="shared" si="0"/>
        <v>5</v>
      </c>
      <c r="D44">
        <f>SUMIFS('LEAVE LOG'!F$1:F$1048573,'LEAVE LOG'!B$1:B$1048573,A44,'LEAVE LOG'!C$1:C$1048573,"Annual Leave",'LEAVE LOG'!G$1:G$1048573,"Approved")</f>
        <v>0</v>
      </c>
      <c r="E44">
        <f t="shared" si="1"/>
        <v>10</v>
      </c>
      <c r="F44">
        <f>SUMIFS('LEAVE LOG'!F$1:F$1048573,'LEAVE LOG'!B$1:B$1048573,A44,'LEAVE LOG'!C$1:C$1048573,"Paternity Leave",'LEAVE LOG'!G$1:G$1048573,"Approved")</f>
        <v>0</v>
      </c>
      <c r="G44">
        <f>SUMIFS('LEAVE LOG'!F$1:F$1048573,'LEAVE LOG'!B$1:B$1048573,A44,'LEAVE LOG'!C$1:C$1048573,"Maternity Leave",'LEAVE LOG'!G$1:G$1048573,"Approved")</f>
        <v>0</v>
      </c>
      <c r="H44">
        <f>SUMIFS('LEAVE LOG'!F$1:F$1048573,'LEAVE LOG'!B$1:B$1048573,A44,'LEAVE LOG'!C$1:C$1048573,"Marital Leave",'LEAVE LOG'!G$1:G$1048573,"Approved")</f>
        <v>0</v>
      </c>
      <c r="I44">
        <f>SUMIFS('LEAVE LOG'!F$1:F$1048573,'LEAVE LOG'!B$1:B$1048573,A44,'LEAVE LOG'!C$1:C$1048573,"Compassionate Leave",'LEAVE LOG'!G$1:G$1048573,"Approved")</f>
        <v>0</v>
      </c>
    </row>
    <row r="45" spans="1:9" x14ac:dyDescent="0.25">
      <c r="A45" t="str">
        <f>EMPLOYEES!B45</f>
        <v>Faith Ogunsuyi oluwapelumi</v>
      </c>
      <c r="B45">
        <f>SUMIFS('LEAVE LOG'!F$1:F$1048573,'LEAVE LOG'!B$1:B$1048573,A45,'LEAVE LOG'!C$1:C$1048573,"Sick Leave",'LEAVE LOG'!G$1:G$1048573,"Approved")</f>
        <v>0</v>
      </c>
      <c r="C45">
        <f t="shared" si="0"/>
        <v>5</v>
      </c>
      <c r="D45">
        <f>SUMIFS('LEAVE LOG'!F$1:F$1048573,'LEAVE LOG'!B$1:B$1048573,A45,'LEAVE LOG'!C$1:C$1048573,"Annual Leave",'LEAVE LOG'!G$1:G$1048573,"Approved")</f>
        <v>0</v>
      </c>
      <c r="E45">
        <f t="shared" si="1"/>
        <v>10</v>
      </c>
      <c r="F45">
        <f>SUMIFS('LEAVE LOG'!F$1:F$1048573,'LEAVE LOG'!B$1:B$1048573,A45,'LEAVE LOG'!C$1:C$1048573,"Paternity Leave",'LEAVE LOG'!G$1:G$1048573,"Approved")</f>
        <v>0</v>
      </c>
      <c r="G45">
        <f>SUMIFS('LEAVE LOG'!F$1:F$1048573,'LEAVE LOG'!B$1:B$1048573,A45,'LEAVE LOG'!C$1:C$1048573,"Maternity Leave",'LEAVE LOG'!G$1:G$1048573,"Approved")</f>
        <v>0</v>
      </c>
      <c r="H45">
        <f>SUMIFS('LEAVE LOG'!F$1:F$1048573,'LEAVE LOG'!B$1:B$1048573,A45,'LEAVE LOG'!C$1:C$1048573,"Marital Leave",'LEAVE LOG'!G$1:G$1048573,"Approved")</f>
        <v>0</v>
      </c>
      <c r="I45">
        <f>SUMIFS('LEAVE LOG'!F$1:F$1048573,'LEAVE LOG'!B$1:B$1048573,A45,'LEAVE LOG'!C$1:C$1048573,"Compassionate Leave",'LEAVE LOG'!G$1:G$1048573,"Approved")</f>
        <v>0</v>
      </c>
    </row>
    <row r="46" spans="1:9" x14ac:dyDescent="0.25">
      <c r="A46" t="str">
        <f>EMPLOYEES!B46</f>
        <v>Favour Olajide ISAAC</v>
      </c>
      <c r="B46">
        <f>SUMIFS('LEAVE LOG'!F$1:F$1048573,'LEAVE LOG'!B$1:B$1048573,A46,'LEAVE LOG'!C$1:C$1048573,"Sick Leave",'LEAVE LOG'!G$1:G$1048573,"Approved")</f>
        <v>0</v>
      </c>
      <c r="C46">
        <f t="shared" si="0"/>
        <v>5</v>
      </c>
      <c r="D46">
        <f>SUMIFS('LEAVE LOG'!F$1:F$1048573,'LEAVE LOG'!B$1:B$1048573,A46,'LEAVE LOG'!C$1:C$1048573,"Annual Leave",'LEAVE LOG'!G$1:G$1048573,"Approved")</f>
        <v>0</v>
      </c>
      <c r="E46">
        <f t="shared" si="1"/>
        <v>10</v>
      </c>
      <c r="F46">
        <f>SUMIFS('LEAVE LOG'!F$1:F$1048573,'LEAVE LOG'!B$1:B$1048573,A46,'LEAVE LOG'!C$1:C$1048573,"Paternity Leave",'LEAVE LOG'!G$1:G$1048573,"Approved")</f>
        <v>0</v>
      </c>
      <c r="G46">
        <f>SUMIFS('LEAVE LOG'!F$1:F$1048573,'LEAVE LOG'!B$1:B$1048573,A46,'LEAVE LOG'!C$1:C$1048573,"Maternity Leave",'LEAVE LOG'!G$1:G$1048573,"Approved")</f>
        <v>0</v>
      </c>
      <c r="H46">
        <f>SUMIFS('LEAVE LOG'!F$1:F$1048573,'LEAVE LOG'!B$1:B$1048573,A46,'LEAVE LOG'!C$1:C$1048573,"Marital Leave",'LEAVE LOG'!G$1:G$1048573,"Approved")</f>
        <v>0</v>
      </c>
      <c r="I46">
        <f>SUMIFS('LEAVE LOG'!F$1:F$1048573,'LEAVE LOG'!B$1:B$1048573,A46,'LEAVE LOG'!C$1:C$1048573,"Compassionate Leave",'LEAVE LOG'!G$1:G$1048573,"Approved")</f>
        <v>0</v>
      </c>
    </row>
    <row r="47" spans="1:9" x14ac:dyDescent="0.25">
      <c r="A47" t="str">
        <f>EMPLOYEES!B47</f>
        <v>Feyishayo olatunji olamide</v>
      </c>
      <c r="B47">
        <f>SUMIFS('LEAVE LOG'!F$1:F$1048573,'LEAVE LOG'!B$1:B$1048573,A47,'LEAVE LOG'!C$1:C$1048573,"Sick Leave",'LEAVE LOG'!G$1:G$1048573,"Approved")</f>
        <v>0</v>
      </c>
      <c r="C47">
        <f t="shared" si="0"/>
        <v>5</v>
      </c>
      <c r="D47">
        <f>SUMIFS('LEAVE LOG'!F$1:F$1048573,'LEAVE LOG'!B$1:B$1048573,A47,'LEAVE LOG'!C$1:C$1048573,"Annual Leave",'LEAVE LOG'!G$1:G$1048573,"Approved")</f>
        <v>0</v>
      </c>
      <c r="E47">
        <f t="shared" si="1"/>
        <v>10</v>
      </c>
      <c r="F47">
        <f>SUMIFS('LEAVE LOG'!F$1:F$1048573,'LEAVE LOG'!B$1:B$1048573,A47,'LEAVE LOG'!C$1:C$1048573,"Paternity Leave",'LEAVE LOG'!G$1:G$1048573,"Approved")</f>
        <v>0</v>
      </c>
      <c r="G47">
        <f>SUMIFS('LEAVE LOG'!F$1:F$1048573,'LEAVE LOG'!B$1:B$1048573,A47,'LEAVE LOG'!C$1:C$1048573,"Maternity Leave",'LEAVE LOG'!G$1:G$1048573,"Approved")</f>
        <v>0</v>
      </c>
      <c r="H47">
        <f>SUMIFS('LEAVE LOG'!F$1:F$1048573,'LEAVE LOG'!B$1:B$1048573,A47,'LEAVE LOG'!C$1:C$1048573,"Marital Leave",'LEAVE LOG'!G$1:G$1048573,"Approved")</f>
        <v>0</v>
      </c>
      <c r="I47">
        <f>SUMIFS('LEAVE LOG'!F$1:F$1048573,'LEAVE LOG'!B$1:B$1048573,A47,'LEAVE LOG'!C$1:C$1048573,"Compassionate Leave",'LEAVE LOG'!G$1:G$1048573,"Approved")</f>
        <v>0</v>
      </c>
    </row>
    <row r="48" spans="1:9" x14ac:dyDescent="0.25">
      <c r="A48" t="str">
        <f>EMPLOYEES!B48</f>
        <v>Fortune Sam-Olayemi</v>
      </c>
      <c r="B48">
        <f>SUMIFS('LEAVE LOG'!F$1:F$1048573,'LEAVE LOG'!B$1:B$1048573,A48,'LEAVE LOG'!C$1:C$1048573,"Sick Leave",'LEAVE LOG'!G$1:G$1048573,"Approved")</f>
        <v>0</v>
      </c>
      <c r="C48">
        <f t="shared" si="0"/>
        <v>5</v>
      </c>
      <c r="D48">
        <f>SUMIFS('LEAVE LOG'!F$1:F$1048573,'LEAVE LOG'!B$1:B$1048573,A48,'LEAVE LOG'!C$1:C$1048573,"Annual Leave",'LEAVE LOG'!G$1:G$1048573,"Approved")</f>
        <v>0</v>
      </c>
      <c r="E48">
        <f t="shared" si="1"/>
        <v>10</v>
      </c>
      <c r="F48">
        <f>SUMIFS('LEAVE LOG'!F$1:F$1048573,'LEAVE LOG'!B$1:B$1048573,A48,'LEAVE LOG'!C$1:C$1048573,"Paternity Leave",'LEAVE LOG'!G$1:G$1048573,"Approved")</f>
        <v>0</v>
      </c>
      <c r="G48">
        <f>SUMIFS('LEAVE LOG'!F$1:F$1048573,'LEAVE LOG'!B$1:B$1048573,A48,'LEAVE LOG'!C$1:C$1048573,"Maternity Leave",'LEAVE LOG'!G$1:G$1048573,"Approved")</f>
        <v>0</v>
      </c>
      <c r="H48">
        <f>SUMIFS('LEAVE LOG'!F$1:F$1048573,'LEAVE LOG'!B$1:B$1048573,A48,'LEAVE LOG'!C$1:C$1048573,"Marital Leave",'LEAVE LOG'!G$1:G$1048573,"Approved")</f>
        <v>0</v>
      </c>
      <c r="I48">
        <f>SUMIFS('LEAVE LOG'!F$1:F$1048573,'LEAVE LOG'!B$1:B$1048573,A48,'LEAVE LOG'!C$1:C$1048573,"Compassionate Leave",'LEAVE LOG'!G$1:G$1048573,"Approved")</f>
        <v>0</v>
      </c>
    </row>
    <row r="49" spans="1:9" x14ac:dyDescent="0.25">
      <c r="A49" t="str">
        <f>EMPLOYEES!B49</f>
        <v>Gbolahan Mubarak Ayomide</v>
      </c>
      <c r="B49">
        <f>SUMIFS('LEAVE LOG'!F$1:F$1048573,'LEAVE LOG'!B$1:B$1048573,A49,'LEAVE LOG'!C$1:C$1048573,"Sick Leave",'LEAVE LOG'!G$1:G$1048573,"Approved")</f>
        <v>0</v>
      </c>
      <c r="C49">
        <f t="shared" si="0"/>
        <v>5</v>
      </c>
      <c r="D49">
        <f>SUMIFS('LEAVE LOG'!F$1:F$1048573,'LEAVE LOG'!B$1:B$1048573,A49,'LEAVE LOG'!C$1:C$1048573,"Annual Leave",'LEAVE LOG'!G$1:G$1048573,"Approved")</f>
        <v>0</v>
      </c>
      <c r="E49">
        <f t="shared" si="1"/>
        <v>10</v>
      </c>
      <c r="F49">
        <f>SUMIFS('LEAVE LOG'!F$1:F$1048573,'LEAVE LOG'!B$1:B$1048573,A49,'LEAVE LOG'!C$1:C$1048573,"Paternity Leave",'LEAVE LOG'!G$1:G$1048573,"Approved")</f>
        <v>0</v>
      </c>
      <c r="G49">
        <f>SUMIFS('LEAVE LOG'!F$1:F$1048573,'LEAVE LOG'!B$1:B$1048573,A49,'LEAVE LOG'!C$1:C$1048573,"Maternity Leave",'LEAVE LOG'!G$1:G$1048573,"Approved")</f>
        <v>0</v>
      </c>
      <c r="H49">
        <f>SUMIFS('LEAVE LOG'!F$1:F$1048573,'LEAVE LOG'!B$1:B$1048573,A49,'LEAVE LOG'!C$1:C$1048573,"Marital Leave",'LEAVE LOG'!G$1:G$1048573,"Approved")</f>
        <v>0</v>
      </c>
      <c r="I49">
        <f>SUMIFS('LEAVE LOG'!F$1:F$1048573,'LEAVE LOG'!B$1:B$1048573,A49,'LEAVE LOG'!C$1:C$1048573,"Compassionate Leave",'LEAVE LOG'!G$1:G$1048573,"Approved")</f>
        <v>0</v>
      </c>
    </row>
    <row r="50" spans="1:9" x14ac:dyDescent="0.25">
      <c r="A50" t="str">
        <f>EMPLOYEES!B50</f>
        <v>Gloria Edeh Onyinye</v>
      </c>
      <c r="B50">
        <f>SUMIFS('LEAVE LOG'!F$1:F$1048573,'LEAVE LOG'!B$1:B$1048573,A50,'LEAVE LOG'!C$1:C$1048573,"Sick Leave",'LEAVE LOG'!G$1:G$1048573,"Approved")</f>
        <v>0</v>
      </c>
      <c r="C50">
        <f t="shared" si="0"/>
        <v>5</v>
      </c>
      <c r="D50">
        <f>SUMIFS('LEAVE LOG'!F$1:F$1048573,'LEAVE LOG'!B$1:B$1048573,A50,'LEAVE LOG'!C$1:C$1048573,"Annual Leave",'LEAVE LOG'!G$1:G$1048573,"Approved")</f>
        <v>0</v>
      </c>
      <c r="E50">
        <f t="shared" si="1"/>
        <v>10</v>
      </c>
      <c r="F50">
        <f>SUMIFS('LEAVE LOG'!F$1:F$1048573,'LEAVE LOG'!B$1:B$1048573,A50,'LEAVE LOG'!C$1:C$1048573,"Paternity Leave",'LEAVE LOG'!G$1:G$1048573,"Approved")</f>
        <v>0</v>
      </c>
      <c r="G50">
        <f>SUMIFS('LEAVE LOG'!F$1:F$1048573,'LEAVE LOG'!B$1:B$1048573,A50,'LEAVE LOG'!C$1:C$1048573,"Maternity Leave",'LEAVE LOG'!G$1:G$1048573,"Approved")</f>
        <v>0</v>
      </c>
      <c r="H50">
        <f>SUMIFS('LEAVE LOG'!F$1:F$1048573,'LEAVE LOG'!B$1:B$1048573,A50,'LEAVE LOG'!C$1:C$1048573,"Marital Leave",'LEAVE LOG'!G$1:G$1048573,"Approved")</f>
        <v>0</v>
      </c>
      <c r="I50">
        <f>SUMIFS('LEAVE LOG'!F$1:F$1048573,'LEAVE LOG'!B$1:B$1048573,A50,'LEAVE LOG'!C$1:C$1048573,"Compassionate Leave",'LEAVE LOG'!G$1:G$1048573,"Approved")</f>
        <v>0</v>
      </c>
    </row>
    <row r="51" spans="1:9" x14ac:dyDescent="0.25">
      <c r="A51" t="str">
        <f>EMPLOYEES!B51</f>
        <v>Guma Mercy</v>
      </c>
      <c r="B51">
        <f>SUMIFS('LEAVE LOG'!F$1:F$1048573,'LEAVE LOG'!B$1:B$1048573,A51,'LEAVE LOG'!C$1:C$1048573,"Sick Leave",'LEAVE LOG'!G$1:G$1048573,"Approved")</f>
        <v>0</v>
      </c>
      <c r="C51">
        <f t="shared" si="0"/>
        <v>5</v>
      </c>
      <c r="D51">
        <f>SUMIFS('LEAVE LOG'!F$1:F$1048573,'LEAVE LOG'!B$1:B$1048573,A51,'LEAVE LOG'!C$1:C$1048573,"Annual Leave",'LEAVE LOG'!G$1:G$1048573,"Approved")</f>
        <v>0</v>
      </c>
      <c r="E51">
        <f t="shared" si="1"/>
        <v>10</v>
      </c>
      <c r="F51">
        <f>SUMIFS('LEAVE LOG'!F$1:F$1048573,'LEAVE LOG'!B$1:B$1048573,A51,'LEAVE LOG'!C$1:C$1048573,"Paternity Leave",'LEAVE LOG'!G$1:G$1048573,"Approved")</f>
        <v>0</v>
      </c>
      <c r="G51">
        <f>SUMIFS('LEAVE LOG'!F$1:F$1048573,'LEAVE LOG'!B$1:B$1048573,A51,'LEAVE LOG'!C$1:C$1048573,"Maternity Leave",'LEAVE LOG'!G$1:G$1048573,"Approved")</f>
        <v>0</v>
      </c>
      <c r="H51">
        <f>SUMIFS('LEAVE LOG'!F$1:F$1048573,'LEAVE LOG'!B$1:B$1048573,A51,'LEAVE LOG'!C$1:C$1048573,"Marital Leave",'LEAVE LOG'!G$1:G$1048573,"Approved")</f>
        <v>0</v>
      </c>
      <c r="I51">
        <f>SUMIFS('LEAVE LOG'!F$1:F$1048573,'LEAVE LOG'!B$1:B$1048573,A51,'LEAVE LOG'!C$1:C$1048573,"Compassionate Leave",'LEAVE LOG'!G$1:G$1048573,"Approved")</f>
        <v>0</v>
      </c>
    </row>
    <row r="52" spans="1:9" x14ac:dyDescent="0.25">
      <c r="A52" t="str">
        <f>EMPLOYEES!B52</f>
        <v>Ilori Abolade Ifeoluwa</v>
      </c>
      <c r="B52">
        <f>SUMIFS('LEAVE LOG'!F$1:F$1048573,'LEAVE LOG'!B$1:B$1048573,A52,'LEAVE LOG'!C$1:C$1048573,"Sick Leave",'LEAVE LOG'!G$1:G$1048573,"Approved")</f>
        <v>0</v>
      </c>
      <c r="C52">
        <f t="shared" si="0"/>
        <v>5</v>
      </c>
      <c r="D52">
        <f>SUMIFS('LEAVE LOG'!F$1:F$1048573,'LEAVE LOG'!B$1:B$1048573,A52,'LEAVE LOG'!C$1:C$1048573,"Annual Leave",'LEAVE LOG'!G$1:G$1048573,"Approved")</f>
        <v>0</v>
      </c>
      <c r="E52">
        <f t="shared" si="1"/>
        <v>10</v>
      </c>
      <c r="F52">
        <f>SUMIFS('LEAVE LOG'!F$1:F$1048573,'LEAVE LOG'!B$1:B$1048573,A52,'LEAVE LOG'!C$1:C$1048573,"Paternity Leave",'LEAVE LOG'!G$1:G$1048573,"Approved")</f>
        <v>0</v>
      </c>
      <c r="G52">
        <f>SUMIFS('LEAVE LOG'!F$1:F$1048573,'LEAVE LOG'!B$1:B$1048573,A52,'LEAVE LOG'!C$1:C$1048573,"Maternity Leave",'LEAVE LOG'!G$1:G$1048573,"Approved")</f>
        <v>0</v>
      </c>
      <c r="H52">
        <f>SUMIFS('LEAVE LOG'!F$1:F$1048573,'LEAVE LOG'!B$1:B$1048573,A52,'LEAVE LOG'!C$1:C$1048573,"Marital Leave",'LEAVE LOG'!G$1:G$1048573,"Approved")</f>
        <v>0</v>
      </c>
      <c r="I52">
        <f>SUMIFS('LEAVE LOG'!F$1:F$1048573,'LEAVE LOG'!B$1:B$1048573,A52,'LEAVE LOG'!C$1:C$1048573,"Compassionate Leave",'LEAVE LOG'!G$1:G$1048573,"Approved")</f>
        <v>0</v>
      </c>
    </row>
    <row r="53" spans="1:9" x14ac:dyDescent="0.25">
      <c r="A53" t="str">
        <f>EMPLOYEES!B53</f>
        <v>Isaac Victoria oluwadamilola</v>
      </c>
      <c r="B53">
        <f>SUMIFS('LEAVE LOG'!F$1:F$1048573,'LEAVE LOG'!B$1:B$1048573,A53,'LEAVE LOG'!C$1:C$1048573,"Sick Leave",'LEAVE LOG'!G$1:G$1048573,"Approved")</f>
        <v>0</v>
      </c>
      <c r="C53">
        <f t="shared" si="0"/>
        <v>5</v>
      </c>
      <c r="D53">
        <f>SUMIFS('LEAVE LOG'!F$1:F$1048573,'LEAVE LOG'!B$1:B$1048573,A53,'LEAVE LOG'!C$1:C$1048573,"Annual Leave",'LEAVE LOG'!G$1:G$1048573,"Approved")</f>
        <v>0</v>
      </c>
      <c r="E53">
        <f t="shared" si="1"/>
        <v>10</v>
      </c>
      <c r="F53">
        <f>SUMIFS('LEAVE LOG'!F$1:F$1048573,'LEAVE LOG'!B$1:B$1048573,A53,'LEAVE LOG'!C$1:C$1048573,"Paternity Leave",'LEAVE LOG'!G$1:G$1048573,"Approved")</f>
        <v>0</v>
      </c>
      <c r="G53">
        <f>SUMIFS('LEAVE LOG'!F$1:F$1048573,'LEAVE LOG'!B$1:B$1048573,A53,'LEAVE LOG'!C$1:C$1048573,"Maternity Leave",'LEAVE LOG'!G$1:G$1048573,"Approved")</f>
        <v>0</v>
      </c>
      <c r="H53">
        <f>SUMIFS('LEAVE LOG'!F$1:F$1048573,'LEAVE LOG'!B$1:B$1048573,A53,'LEAVE LOG'!C$1:C$1048573,"Marital Leave",'LEAVE LOG'!G$1:G$1048573,"Approved")</f>
        <v>0</v>
      </c>
      <c r="I53">
        <f>SUMIFS('LEAVE LOG'!F$1:F$1048573,'LEAVE LOG'!B$1:B$1048573,A53,'LEAVE LOG'!C$1:C$1048573,"Compassionate Leave",'LEAVE LOG'!G$1:G$1048573,"Approved")</f>
        <v>0</v>
      </c>
    </row>
    <row r="54" spans="1:9" x14ac:dyDescent="0.25">
      <c r="A54" t="str">
        <f>EMPLOYEES!B54</f>
        <v>Ismail Abdulrasaq</v>
      </c>
      <c r="B54">
        <f>SUMIFS('LEAVE LOG'!F$1:F$1048573,'LEAVE LOG'!B$1:B$1048573,A54,'LEAVE LOG'!C$1:C$1048573,"Sick Leave",'LEAVE LOG'!G$1:G$1048573,"Approved")</f>
        <v>0</v>
      </c>
      <c r="C54">
        <f t="shared" si="0"/>
        <v>5</v>
      </c>
      <c r="D54">
        <f>SUMIFS('LEAVE LOG'!F$1:F$1048573,'LEAVE LOG'!B$1:B$1048573,A54,'LEAVE LOG'!C$1:C$1048573,"Annual Leave",'LEAVE LOG'!G$1:G$1048573,"Approved")</f>
        <v>0</v>
      </c>
      <c r="E54">
        <f t="shared" si="1"/>
        <v>10</v>
      </c>
      <c r="F54">
        <f>SUMIFS('LEAVE LOG'!F$1:F$1048573,'LEAVE LOG'!B$1:B$1048573,A54,'LEAVE LOG'!C$1:C$1048573,"Paternity Leave",'LEAVE LOG'!G$1:G$1048573,"Approved")</f>
        <v>0</v>
      </c>
      <c r="G54">
        <f>SUMIFS('LEAVE LOG'!F$1:F$1048573,'LEAVE LOG'!B$1:B$1048573,A54,'LEAVE LOG'!C$1:C$1048573,"Maternity Leave",'LEAVE LOG'!G$1:G$1048573,"Approved")</f>
        <v>0</v>
      </c>
      <c r="H54">
        <f>SUMIFS('LEAVE LOG'!F$1:F$1048573,'LEAVE LOG'!B$1:B$1048573,A54,'LEAVE LOG'!C$1:C$1048573,"Marital Leave",'LEAVE LOG'!G$1:G$1048573,"Approved")</f>
        <v>0</v>
      </c>
      <c r="I54">
        <f>SUMIFS('LEAVE LOG'!F$1:F$1048573,'LEAVE LOG'!B$1:B$1048573,A54,'LEAVE LOG'!C$1:C$1048573,"Compassionate Leave",'LEAVE LOG'!G$1:G$1048573,"Approved")</f>
        <v>0</v>
      </c>
    </row>
    <row r="55" spans="1:9" x14ac:dyDescent="0.25">
      <c r="A55" t="str">
        <f>EMPLOYEES!B55</f>
        <v>Jimoh sarat Damilola</v>
      </c>
      <c r="B55">
        <f>SUMIFS('LEAVE LOG'!F$1:F$1048573,'LEAVE LOG'!B$1:B$1048573,A55,'LEAVE LOG'!C$1:C$1048573,"Sick Leave",'LEAVE LOG'!G$1:G$1048573,"Approved")</f>
        <v>0</v>
      </c>
      <c r="C55">
        <f t="shared" si="0"/>
        <v>5</v>
      </c>
      <c r="D55">
        <f>SUMIFS('LEAVE LOG'!F$1:F$1048573,'LEAVE LOG'!B$1:B$1048573,A55,'LEAVE LOG'!C$1:C$1048573,"Annual Leave",'LEAVE LOG'!G$1:G$1048573,"Approved")</f>
        <v>0</v>
      </c>
      <c r="E55">
        <f t="shared" si="1"/>
        <v>10</v>
      </c>
      <c r="F55">
        <f>SUMIFS('LEAVE LOG'!F$1:F$1048573,'LEAVE LOG'!B$1:B$1048573,A55,'LEAVE LOG'!C$1:C$1048573,"Paternity Leave",'LEAVE LOG'!G$1:G$1048573,"Approved")</f>
        <v>0</v>
      </c>
      <c r="G55">
        <f>SUMIFS('LEAVE LOG'!F$1:F$1048573,'LEAVE LOG'!B$1:B$1048573,A55,'LEAVE LOG'!C$1:C$1048573,"Maternity Leave",'LEAVE LOG'!G$1:G$1048573,"Approved")</f>
        <v>0</v>
      </c>
      <c r="H55">
        <f>SUMIFS('LEAVE LOG'!F$1:F$1048573,'LEAVE LOG'!B$1:B$1048573,A55,'LEAVE LOG'!C$1:C$1048573,"Marital Leave",'LEAVE LOG'!G$1:G$1048573,"Approved")</f>
        <v>0</v>
      </c>
      <c r="I55">
        <f>SUMIFS('LEAVE LOG'!F$1:F$1048573,'LEAVE LOG'!B$1:B$1048573,A55,'LEAVE LOG'!C$1:C$1048573,"Compassionate Leave",'LEAVE LOG'!G$1:G$1048573,"Approved")</f>
        <v>0</v>
      </c>
    </row>
    <row r="56" spans="1:9" x14ac:dyDescent="0.25">
      <c r="A56" t="str">
        <f>EMPLOYEES!B56</f>
        <v>Joel Abodunrin Oluwasogo</v>
      </c>
      <c r="B56">
        <f>SUMIFS('LEAVE LOG'!F$1:F$1048573,'LEAVE LOG'!B$1:B$1048573,A56,'LEAVE LOG'!C$1:C$1048573,"Sick Leave",'LEAVE LOG'!G$1:G$1048573,"Approved")</f>
        <v>0</v>
      </c>
      <c r="C56">
        <f t="shared" si="0"/>
        <v>5</v>
      </c>
      <c r="D56">
        <f>SUMIFS('LEAVE LOG'!F$1:F$1048573,'LEAVE LOG'!B$1:B$1048573,A56,'LEAVE LOG'!C$1:C$1048573,"Annual Leave",'LEAVE LOG'!G$1:G$1048573,"Approved")</f>
        <v>0</v>
      </c>
      <c r="E56">
        <f t="shared" si="1"/>
        <v>10</v>
      </c>
      <c r="F56">
        <f>SUMIFS('LEAVE LOG'!F$1:F$1048573,'LEAVE LOG'!B$1:B$1048573,A56,'LEAVE LOG'!C$1:C$1048573,"Paternity Leave",'LEAVE LOG'!G$1:G$1048573,"Approved")</f>
        <v>0</v>
      </c>
      <c r="G56">
        <f>SUMIFS('LEAVE LOG'!F$1:F$1048573,'LEAVE LOG'!B$1:B$1048573,A56,'LEAVE LOG'!C$1:C$1048573,"Maternity Leave",'LEAVE LOG'!G$1:G$1048573,"Approved")</f>
        <v>0</v>
      </c>
      <c r="H56">
        <f>SUMIFS('LEAVE LOG'!F$1:F$1048573,'LEAVE LOG'!B$1:B$1048573,A56,'LEAVE LOG'!C$1:C$1048573,"Marital Leave",'LEAVE LOG'!G$1:G$1048573,"Approved")</f>
        <v>0</v>
      </c>
      <c r="I56">
        <f>SUMIFS('LEAVE LOG'!F$1:F$1048573,'LEAVE LOG'!B$1:B$1048573,A56,'LEAVE LOG'!C$1:C$1048573,"Compassionate Leave",'LEAVE LOG'!G$1:G$1048573,"Approved")</f>
        <v>0</v>
      </c>
    </row>
    <row r="57" spans="1:9" x14ac:dyDescent="0.25">
      <c r="A57" t="str">
        <f>EMPLOYEES!B57</f>
        <v>Johnson olajumoke Grace</v>
      </c>
      <c r="B57">
        <f>SUMIFS('LEAVE LOG'!F$1:F$1048573,'LEAVE LOG'!B$1:B$1048573,A57,'LEAVE LOG'!C$1:C$1048573,"Sick Leave",'LEAVE LOG'!G$1:G$1048573,"Approved")</f>
        <v>1</v>
      </c>
      <c r="C57">
        <f t="shared" si="0"/>
        <v>4</v>
      </c>
      <c r="D57">
        <f>SUMIFS('LEAVE LOG'!F$1:F$1048573,'LEAVE LOG'!B$1:B$1048573,A57,'LEAVE LOG'!C$1:C$1048573,"Annual Leave",'LEAVE LOG'!G$1:G$1048573,"Approved")</f>
        <v>0</v>
      </c>
      <c r="E57">
        <f t="shared" si="1"/>
        <v>10</v>
      </c>
      <c r="F57">
        <f>SUMIFS('LEAVE LOG'!F$1:F$1048573,'LEAVE LOG'!B$1:B$1048573,A57,'LEAVE LOG'!C$1:C$1048573,"Paternity Leave",'LEAVE LOG'!G$1:G$1048573,"Approved")</f>
        <v>0</v>
      </c>
      <c r="G57">
        <f>SUMIFS('LEAVE LOG'!F$1:F$1048573,'LEAVE LOG'!B$1:B$1048573,A57,'LEAVE LOG'!C$1:C$1048573,"Maternity Leave",'LEAVE LOG'!G$1:G$1048573,"Approved")</f>
        <v>0</v>
      </c>
      <c r="H57">
        <f>SUMIFS('LEAVE LOG'!F$1:F$1048573,'LEAVE LOG'!B$1:B$1048573,A57,'LEAVE LOG'!C$1:C$1048573,"Marital Leave",'LEAVE LOG'!G$1:G$1048573,"Approved")</f>
        <v>0</v>
      </c>
      <c r="I57">
        <f>SUMIFS('LEAVE LOG'!F$1:F$1048573,'LEAVE LOG'!B$1:B$1048573,A57,'LEAVE LOG'!C$1:C$1048573,"Compassionate Leave",'LEAVE LOG'!G$1:G$1048573,"Approved")</f>
        <v>0</v>
      </c>
    </row>
    <row r="58" spans="1:9" x14ac:dyDescent="0.25">
      <c r="A58" t="str">
        <f>EMPLOYEES!B58</f>
        <v>Joseph Olayemi</v>
      </c>
      <c r="B58">
        <f>SUMIFS('LEAVE LOG'!F$1:F$1048573,'LEAVE LOG'!B$1:B$1048573,A58,'LEAVE LOG'!C$1:C$1048573,"Sick Leave",'LEAVE LOG'!G$1:G$1048573,"Approved")</f>
        <v>5</v>
      </c>
      <c r="C58">
        <f t="shared" si="0"/>
        <v>0</v>
      </c>
      <c r="D58">
        <f>SUMIFS('LEAVE LOG'!F$1:F$1048573,'LEAVE LOG'!B$1:B$1048573,A58,'LEAVE LOG'!C$1:C$1048573,"Annual Leave",'LEAVE LOG'!G$1:G$1048573,"Approved")</f>
        <v>0</v>
      </c>
      <c r="E58">
        <f t="shared" si="1"/>
        <v>10</v>
      </c>
      <c r="F58">
        <f>SUMIFS('LEAVE LOG'!F$1:F$1048573,'LEAVE LOG'!B$1:B$1048573,A58,'LEAVE LOG'!C$1:C$1048573,"Paternity Leave",'LEAVE LOG'!G$1:G$1048573,"Approved")</f>
        <v>0</v>
      </c>
      <c r="G58">
        <f>SUMIFS('LEAVE LOG'!F$1:F$1048573,'LEAVE LOG'!B$1:B$1048573,A58,'LEAVE LOG'!C$1:C$1048573,"Maternity Leave",'LEAVE LOG'!G$1:G$1048573,"Approved")</f>
        <v>0</v>
      </c>
      <c r="H58">
        <f>SUMIFS('LEAVE LOG'!F$1:F$1048573,'LEAVE LOG'!B$1:B$1048573,A58,'LEAVE LOG'!C$1:C$1048573,"Marital Leave",'LEAVE LOG'!G$1:G$1048573,"Approved")</f>
        <v>0</v>
      </c>
      <c r="I58">
        <f>SUMIFS('LEAVE LOG'!F$1:F$1048573,'LEAVE LOG'!B$1:B$1048573,A58,'LEAVE LOG'!C$1:C$1048573,"Compassionate Leave",'LEAVE LOG'!G$1:G$1048573,"Approved")</f>
        <v>0</v>
      </c>
    </row>
    <row r="59" spans="1:9" x14ac:dyDescent="0.25">
      <c r="A59" t="str">
        <f>EMPLOYEES!B59</f>
        <v>Joseph Oluwaseyi Victoria</v>
      </c>
      <c r="B59">
        <f>SUMIFS('LEAVE LOG'!F$1:F$1048573,'LEAVE LOG'!B$1:B$1048573,A59,'LEAVE LOG'!C$1:C$1048573,"Sick Leave",'LEAVE LOG'!G$1:G$1048573,"Approved")</f>
        <v>0</v>
      </c>
      <c r="C59">
        <f t="shared" si="0"/>
        <v>5</v>
      </c>
      <c r="D59">
        <f>SUMIFS('LEAVE LOG'!F$1:F$1048573,'LEAVE LOG'!B$1:B$1048573,A59,'LEAVE LOG'!C$1:C$1048573,"Annual Leave",'LEAVE LOG'!G$1:G$1048573,"Approved")</f>
        <v>0</v>
      </c>
      <c r="E59">
        <f t="shared" si="1"/>
        <v>10</v>
      </c>
      <c r="F59">
        <f>SUMIFS('LEAVE LOG'!F$1:F$1048573,'LEAVE LOG'!B$1:B$1048573,A59,'LEAVE LOG'!C$1:C$1048573,"Paternity Leave",'LEAVE LOG'!G$1:G$1048573,"Approved")</f>
        <v>0</v>
      </c>
      <c r="G59">
        <f>SUMIFS('LEAVE LOG'!F$1:F$1048573,'LEAVE LOG'!B$1:B$1048573,A59,'LEAVE LOG'!C$1:C$1048573,"Maternity Leave",'LEAVE LOG'!G$1:G$1048573,"Approved")</f>
        <v>0</v>
      </c>
      <c r="H59">
        <f>SUMIFS('LEAVE LOG'!F$1:F$1048573,'LEAVE LOG'!B$1:B$1048573,A59,'LEAVE LOG'!C$1:C$1048573,"Marital Leave",'LEAVE LOG'!G$1:G$1048573,"Approved")</f>
        <v>0</v>
      </c>
      <c r="I59">
        <f>SUMIFS('LEAVE LOG'!F$1:F$1048573,'LEAVE LOG'!B$1:B$1048573,A59,'LEAVE LOG'!C$1:C$1048573,"Compassionate Leave",'LEAVE LOG'!G$1:G$1048573,"Approved")</f>
        <v>0</v>
      </c>
    </row>
    <row r="60" spans="1:9" x14ac:dyDescent="0.25">
      <c r="A60" t="str">
        <f>EMPLOYEES!B60</f>
        <v>Joshua Samuel</v>
      </c>
      <c r="B60">
        <f>SUMIFS('LEAVE LOG'!F$1:F$1048573,'LEAVE LOG'!B$1:B$1048573,A60,'LEAVE LOG'!C$1:C$1048573,"Sick Leave",'LEAVE LOG'!G$1:G$1048573,"Approved")</f>
        <v>0</v>
      </c>
      <c r="C60">
        <f t="shared" si="0"/>
        <v>5</v>
      </c>
      <c r="D60">
        <f>SUMIFS('LEAVE LOG'!F$1:F$1048573,'LEAVE LOG'!B$1:B$1048573,A60,'LEAVE LOG'!C$1:C$1048573,"Annual Leave",'LEAVE LOG'!G$1:G$1048573,"Approved")</f>
        <v>0</v>
      </c>
      <c r="E60">
        <f t="shared" si="1"/>
        <v>10</v>
      </c>
      <c r="F60">
        <f>SUMIFS('LEAVE LOG'!F$1:F$1048573,'LEAVE LOG'!B$1:B$1048573,A60,'LEAVE LOG'!C$1:C$1048573,"Paternity Leave",'LEAVE LOG'!G$1:G$1048573,"Approved")</f>
        <v>0</v>
      </c>
      <c r="G60">
        <f>SUMIFS('LEAVE LOG'!F$1:F$1048573,'LEAVE LOG'!B$1:B$1048573,A60,'LEAVE LOG'!C$1:C$1048573,"Maternity Leave",'LEAVE LOG'!G$1:G$1048573,"Approved")</f>
        <v>0</v>
      </c>
      <c r="H60">
        <f>SUMIFS('LEAVE LOG'!F$1:F$1048573,'LEAVE LOG'!B$1:B$1048573,A60,'LEAVE LOG'!C$1:C$1048573,"Marital Leave",'LEAVE LOG'!G$1:G$1048573,"Approved")</f>
        <v>0</v>
      </c>
      <c r="I60">
        <f>SUMIFS('LEAVE LOG'!F$1:F$1048573,'LEAVE LOG'!B$1:B$1048573,A60,'LEAVE LOG'!C$1:C$1048573,"Compassionate Leave",'LEAVE LOG'!G$1:G$1048573,"Approved")</f>
        <v>0</v>
      </c>
    </row>
    <row r="61" spans="1:9" x14ac:dyDescent="0.25">
      <c r="A61" t="str">
        <f>EMPLOYEES!B61</f>
        <v>Kalu obike simeon</v>
      </c>
      <c r="B61">
        <f>SUMIFS('LEAVE LOG'!F$1:F$1048573,'LEAVE LOG'!B$1:B$1048573,A61,'LEAVE LOG'!C$1:C$1048573,"Sick Leave",'LEAVE LOG'!G$1:G$1048573,"Approved")</f>
        <v>0</v>
      </c>
      <c r="C61">
        <f t="shared" si="0"/>
        <v>5</v>
      </c>
      <c r="D61">
        <f>SUMIFS('LEAVE LOG'!F$1:F$1048573,'LEAVE LOG'!B$1:B$1048573,A61,'LEAVE LOG'!C$1:C$1048573,"Annual Leave",'LEAVE LOG'!G$1:G$1048573,"Approved")</f>
        <v>0</v>
      </c>
      <c r="E61">
        <f t="shared" si="1"/>
        <v>10</v>
      </c>
      <c r="F61">
        <f>SUMIFS('LEAVE LOG'!F$1:F$1048573,'LEAVE LOG'!B$1:B$1048573,A61,'LEAVE LOG'!C$1:C$1048573,"Paternity Leave",'LEAVE LOG'!G$1:G$1048573,"Approved")</f>
        <v>0</v>
      </c>
      <c r="G61">
        <f>SUMIFS('LEAVE LOG'!F$1:F$1048573,'LEAVE LOG'!B$1:B$1048573,A61,'LEAVE LOG'!C$1:C$1048573,"Maternity Leave",'LEAVE LOG'!G$1:G$1048573,"Approved")</f>
        <v>0</v>
      </c>
      <c r="H61">
        <f>SUMIFS('LEAVE LOG'!F$1:F$1048573,'LEAVE LOG'!B$1:B$1048573,A61,'LEAVE LOG'!C$1:C$1048573,"Marital Leave",'LEAVE LOG'!G$1:G$1048573,"Approved")</f>
        <v>0</v>
      </c>
      <c r="I61">
        <f>SUMIFS('LEAVE LOG'!F$1:F$1048573,'LEAVE LOG'!B$1:B$1048573,A61,'LEAVE LOG'!C$1:C$1048573,"Compassionate Leave",'LEAVE LOG'!G$1:G$1048573,"Approved")</f>
        <v>0</v>
      </c>
    </row>
    <row r="62" spans="1:9" x14ac:dyDescent="0.25">
      <c r="A62" t="str">
        <f>EMPLOYEES!B62</f>
        <v>Kariola Esther Ayomide</v>
      </c>
      <c r="B62">
        <f>SUMIFS('LEAVE LOG'!F$1:F$1048573,'LEAVE LOG'!B$1:B$1048573,A62,'LEAVE LOG'!C$1:C$1048573,"Sick Leave",'LEAVE LOG'!G$1:G$1048573,"Approved")</f>
        <v>0</v>
      </c>
      <c r="C62">
        <f t="shared" si="0"/>
        <v>5</v>
      </c>
      <c r="D62">
        <f>SUMIFS('LEAVE LOG'!F$1:F$1048573,'LEAVE LOG'!B$1:B$1048573,A62,'LEAVE LOG'!C$1:C$1048573,"Annual Leave",'LEAVE LOG'!G$1:G$1048573,"Approved")</f>
        <v>0</v>
      </c>
      <c r="E62">
        <f t="shared" si="1"/>
        <v>10</v>
      </c>
      <c r="F62">
        <f>SUMIFS('LEAVE LOG'!F$1:F$1048573,'LEAVE LOG'!B$1:B$1048573,A62,'LEAVE LOG'!C$1:C$1048573,"Paternity Leave",'LEAVE LOG'!G$1:G$1048573,"Approved")</f>
        <v>0</v>
      </c>
      <c r="G62">
        <f>SUMIFS('LEAVE LOG'!F$1:F$1048573,'LEAVE LOG'!B$1:B$1048573,A62,'LEAVE LOG'!C$1:C$1048573,"Maternity Leave",'LEAVE LOG'!G$1:G$1048573,"Approved")</f>
        <v>0</v>
      </c>
      <c r="H62">
        <f>SUMIFS('LEAVE LOG'!F$1:F$1048573,'LEAVE LOG'!B$1:B$1048573,A62,'LEAVE LOG'!C$1:C$1048573,"Marital Leave",'LEAVE LOG'!G$1:G$1048573,"Approved")</f>
        <v>0</v>
      </c>
      <c r="I62">
        <f>SUMIFS('LEAVE LOG'!F$1:F$1048573,'LEAVE LOG'!B$1:B$1048573,A62,'LEAVE LOG'!C$1:C$1048573,"Compassionate Leave",'LEAVE LOG'!G$1:G$1048573,"Approved")</f>
        <v>0</v>
      </c>
    </row>
    <row r="63" spans="1:9" x14ac:dyDescent="0.25">
      <c r="A63" t="str">
        <f>EMPLOYEES!B63</f>
        <v>Laaro Halimat Yetunde</v>
      </c>
      <c r="B63">
        <f>SUMIFS('LEAVE LOG'!F$1:F$1048573,'LEAVE LOG'!B$1:B$1048573,A63,'LEAVE LOG'!C$1:C$1048573,"Sick Leave",'LEAVE LOG'!G$1:G$1048573,"Approved")</f>
        <v>0</v>
      </c>
      <c r="C63">
        <f t="shared" si="0"/>
        <v>5</v>
      </c>
      <c r="D63">
        <f>SUMIFS('LEAVE LOG'!F$1:F$1048573,'LEAVE LOG'!B$1:B$1048573,A63,'LEAVE LOG'!C$1:C$1048573,"Annual Leave",'LEAVE LOG'!G$1:G$1048573,"Approved")</f>
        <v>0</v>
      </c>
      <c r="E63">
        <f t="shared" si="1"/>
        <v>10</v>
      </c>
      <c r="F63">
        <f>SUMIFS('LEAVE LOG'!F$1:F$1048573,'LEAVE LOG'!B$1:B$1048573,A63,'LEAVE LOG'!C$1:C$1048573,"Paternity Leave",'LEAVE LOG'!G$1:G$1048573,"Approved")</f>
        <v>0</v>
      </c>
      <c r="G63">
        <f>SUMIFS('LEAVE LOG'!F$1:F$1048573,'LEAVE LOG'!B$1:B$1048573,A63,'LEAVE LOG'!C$1:C$1048573,"Maternity Leave",'LEAVE LOG'!G$1:G$1048573,"Approved")</f>
        <v>0</v>
      </c>
      <c r="H63">
        <f>SUMIFS('LEAVE LOG'!F$1:F$1048573,'LEAVE LOG'!B$1:B$1048573,A63,'LEAVE LOG'!C$1:C$1048573,"Marital Leave",'LEAVE LOG'!G$1:G$1048573,"Approved")</f>
        <v>0</v>
      </c>
      <c r="I63">
        <f>SUMIFS('LEAVE LOG'!F$1:F$1048573,'LEAVE LOG'!B$1:B$1048573,A63,'LEAVE LOG'!C$1:C$1048573,"Compassionate Leave",'LEAVE LOG'!G$1:G$1048573,"Approved")</f>
        <v>0</v>
      </c>
    </row>
    <row r="64" spans="1:9" x14ac:dyDescent="0.25">
      <c r="A64" t="str">
        <f>EMPLOYEES!B64</f>
        <v>Lateef Olawale Abdulwasiu</v>
      </c>
      <c r="B64">
        <f>SUMIFS('LEAVE LOG'!F$1:F$1048573,'LEAVE LOG'!B$1:B$1048573,A64,'LEAVE LOG'!C$1:C$1048573,"Sick Leave",'LEAVE LOG'!G$1:G$1048573,"Approved")</f>
        <v>0</v>
      </c>
      <c r="C64">
        <f t="shared" si="0"/>
        <v>5</v>
      </c>
      <c r="D64">
        <f>SUMIFS('LEAVE LOG'!F$1:F$1048573,'LEAVE LOG'!B$1:B$1048573,A64,'LEAVE LOG'!C$1:C$1048573,"Annual Leave",'LEAVE LOG'!G$1:G$1048573,"Approved")</f>
        <v>0</v>
      </c>
      <c r="E64">
        <f t="shared" si="1"/>
        <v>10</v>
      </c>
      <c r="F64">
        <f>SUMIFS('LEAVE LOG'!F$1:F$1048573,'LEAVE LOG'!B$1:B$1048573,A64,'LEAVE LOG'!C$1:C$1048573,"Paternity Leave",'LEAVE LOG'!G$1:G$1048573,"Approved")</f>
        <v>0</v>
      </c>
      <c r="G64">
        <f>SUMIFS('LEAVE LOG'!F$1:F$1048573,'LEAVE LOG'!B$1:B$1048573,A64,'LEAVE LOG'!C$1:C$1048573,"Maternity Leave",'LEAVE LOG'!G$1:G$1048573,"Approved")</f>
        <v>0</v>
      </c>
      <c r="H64">
        <f>SUMIFS('LEAVE LOG'!F$1:F$1048573,'LEAVE LOG'!B$1:B$1048573,A64,'LEAVE LOG'!C$1:C$1048573,"Marital Leave",'LEAVE LOG'!G$1:G$1048573,"Approved")</f>
        <v>0</v>
      </c>
      <c r="I64">
        <f>SUMIFS('LEAVE LOG'!F$1:F$1048573,'LEAVE LOG'!B$1:B$1048573,A64,'LEAVE LOG'!C$1:C$1048573,"Compassionate Leave",'LEAVE LOG'!G$1:G$1048573,"Approved")</f>
        <v>0</v>
      </c>
    </row>
    <row r="65" spans="1:9" x14ac:dyDescent="0.25">
      <c r="A65" t="str">
        <f>EMPLOYEES!B65</f>
        <v>Lawanabdulnasir Khalil</v>
      </c>
      <c r="B65">
        <f>SUMIFS('LEAVE LOG'!F$1:F$1048573,'LEAVE LOG'!B$1:B$1048573,A65,'LEAVE LOG'!C$1:C$1048573,"Sick Leave",'LEAVE LOG'!G$1:G$1048573,"Approved")</f>
        <v>0</v>
      </c>
      <c r="C65">
        <f t="shared" si="0"/>
        <v>5</v>
      </c>
      <c r="D65">
        <f>SUMIFS('LEAVE LOG'!F$1:F$1048573,'LEAVE LOG'!B$1:B$1048573,A65,'LEAVE LOG'!C$1:C$1048573,"Annual Leave",'LEAVE LOG'!G$1:G$1048573,"Approved")</f>
        <v>0</v>
      </c>
      <c r="E65">
        <f t="shared" si="1"/>
        <v>10</v>
      </c>
      <c r="F65">
        <f>SUMIFS('LEAVE LOG'!F$1:F$1048573,'LEAVE LOG'!B$1:B$1048573,A65,'LEAVE LOG'!C$1:C$1048573,"Paternity Leave",'LEAVE LOG'!G$1:G$1048573,"Approved")</f>
        <v>0</v>
      </c>
      <c r="G65">
        <f>SUMIFS('LEAVE LOG'!F$1:F$1048573,'LEAVE LOG'!B$1:B$1048573,A65,'LEAVE LOG'!C$1:C$1048573,"Maternity Leave",'LEAVE LOG'!G$1:G$1048573,"Approved")</f>
        <v>0</v>
      </c>
      <c r="H65">
        <f>SUMIFS('LEAVE LOG'!F$1:F$1048573,'LEAVE LOG'!B$1:B$1048573,A65,'LEAVE LOG'!C$1:C$1048573,"Marital Leave",'LEAVE LOG'!G$1:G$1048573,"Approved")</f>
        <v>0</v>
      </c>
      <c r="I65">
        <f>SUMIFS('LEAVE LOG'!F$1:F$1048573,'LEAVE LOG'!B$1:B$1048573,A65,'LEAVE LOG'!C$1:C$1048573,"Compassionate Leave",'LEAVE LOG'!G$1:G$1048573,"Approved")</f>
        <v>0</v>
      </c>
    </row>
    <row r="66" spans="1:9" x14ac:dyDescent="0.25">
      <c r="A66" t="str">
        <f>EMPLOYEES!B66</f>
        <v>Makanjuola Ayomide Martins</v>
      </c>
      <c r="B66">
        <f>SUMIFS('LEAVE LOG'!F$1:F$1048573,'LEAVE LOG'!B$1:B$1048573,A66,'LEAVE LOG'!C$1:C$1048573,"Sick Leave",'LEAVE LOG'!G$1:G$1048573,"Approved")</f>
        <v>0</v>
      </c>
      <c r="C66">
        <f t="shared" si="0"/>
        <v>5</v>
      </c>
      <c r="D66">
        <f>SUMIFS('LEAVE LOG'!F$1:F$1048573,'LEAVE LOG'!B$1:B$1048573,A66,'LEAVE LOG'!C$1:C$1048573,"Annual Leave",'LEAVE LOG'!G$1:G$1048573,"Approved")</f>
        <v>0</v>
      </c>
      <c r="E66">
        <f t="shared" si="1"/>
        <v>10</v>
      </c>
      <c r="F66">
        <f>SUMIFS('LEAVE LOG'!F$1:F$1048573,'LEAVE LOG'!B$1:B$1048573,A66,'LEAVE LOG'!C$1:C$1048573,"Paternity Leave",'LEAVE LOG'!G$1:G$1048573,"Approved")</f>
        <v>0</v>
      </c>
      <c r="G66">
        <f>SUMIFS('LEAVE LOG'!F$1:F$1048573,'LEAVE LOG'!B$1:B$1048573,A66,'LEAVE LOG'!C$1:C$1048573,"Maternity Leave",'LEAVE LOG'!G$1:G$1048573,"Approved")</f>
        <v>0</v>
      </c>
      <c r="H66">
        <f>SUMIFS('LEAVE LOG'!F$1:F$1048573,'LEAVE LOG'!B$1:B$1048573,A66,'LEAVE LOG'!C$1:C$1048573,"Marital Leave",'LEAVE LOG'!G$1:G$1048573,"Approved")</f>
        <v>0</v>
      </c>
      <c r="I66">
        <f>SUMIFS('LEAVE LOG'!F$1:F$1048573,'LEAVE LOG'!B$1:B$1048573,A66,'LEAVE LOG'!C$1:C$1048573,"Compassionate Leave",'LEAVE LOG'!G$1:G$1048573,"Approved")</f>
        <v>0</v>
      </c>
    </row>
    <row r="67" spans="1:9" x14ac:dyDescent="0.25">
      <c r="A67" t="str">
        <f>EMPLOYEES!B67</f>
        <v>Mary Ozohu Abdullahi</v>
      </c>
      <c r="B67">
        <f>SUMIFS('LEAVE LOG'!F$1:F$1048573,'LEAVE LOG'!B$1:B$1048573,A67,'LEAVE LOG'!C$1:C$1048573,"Sick Leave",'LEAVE LOG'!G$1:G$1048573,"Approved")</f>
        <v>0</v>
      </c>
      <c r="C67">
        <f t="shared" ref="C67:C130" si="2">5-B67</f>
        <v>5</v>
      </c>
      <c r="D67">
        <f>SUMIFS('LEAVE LOG'!F$1:F$1048573,'LEAVE LOG'!B$1:B$1048573,A67,'LEAVE LOG'!C$1:C$1048573,"Annual Leave",'LEAVE LOG'!G$1:G$1048573,"Approved")</f>
        <v>0</v>
      </c>
      <c r="E67">
        <f t="shared" ref="E67:E130" si="3">10-D67</f>
        <v>10</v>
      </c>
      <c r="F67">
        <f>SUMIFS('LEAVE LOG'!F$1:F$1048573,'LEAVE LOG'!B$1:B$1048573,A67,'LEAVE LOG'!C$1:C$1048573,"Paternity Leave",'LEAVE LOG'!G$1:G$1048573,"Approved")</f>
        <v>0</v>
      </c>
      <c r="G67">
        <f>SUMIFS('LEAVE LOG'!F$1:F$1048573,'LEAVE LOG'!B$1:B$1048573,A67,'LEAVE LOG'!C$1:C$1048573,"Maternity Leave",'LEAVE LOG'!G$1:G$1048573,"Approved")</f>
        <v>0</v>
      </c>
      <c r="H67">
        <f>SUMIFS('LEAVE LOG'!F$1:F$1048573,'LEAVE LOG'!B$1:B$1048573,A67,'LEAVE LOG'!C$1:C$1048573,"Marital Leave",'LEAVE LOG'!G$1:G$1048573,"Approved")</f>
        <v>0</v>
      </c>
      <c r="I67">
        <f>SUMIFS('LEAVE LOG'!F$1:F$1048573,'LEAVE LOG'!B$1:B$1048573,A67,'LEAVE LOG'!C$1:C$1048573,"Compassionate Leave",'LEAVE LOG'!G$1:G$1048573,"Approved")</f>
        <v>0</v>
      </c>
    </row>
    <row r="68" spans="1:9" x14ac:dyDescent="0.25">
      <c r="A68" t="str">
        <f>EMPLOYEES!B68</f>
        <v>Mayowa Lawrence Bamidele</v>
      </c>
      <c r="B68">
        <f>SUMIFS('LEAVE LOG'!F$1:F$1048573,'LEAVE LOG'!B$1:B$1048573,A68,'LEAVE LOG'!C$1:C$1048573,"Sick Leave",'LEAVE LOG'!G$1:G$1048573,"Approved")</f>
        <v>0</v>
      </c>
      <c r="C68">
        <f t="shared" si="2"/>
        <v>5</v>
      </c>
      <c r="D68">
        <f>SUMIFS('LEAVE LOG'!F$1:F$1048573,'LEAVE LOG'!B$1:B$1048573,A68,'LEAVE LOG'!C$1:C$1048573,"Annual Leave",'LEAVE LOG'!G$1:G$1048573,"Approved")</f>
        <v>0</v>
      </c>
      <c r="E68">
        <f t="shared" si="3"/>
        <v>10</v>
      </c>
      <c r="F68">
        <f>SUMIFS('LEAVE LOG'!F$1:F$1048573,'LEAVE LOG'!B$1:B$1048573,A68,'LEAVE LOG'!C$1:C$1048573,"Paternity Leave",'LEAVE LOG'!G$1:G$1048573,"Approved")</f>
        <v>0</v>
      </c>
      <c r="G68">
        <f>SUMIFS('LEAVE LOG'!F$1:F$1048573,'LEAVE LOG'!B$1:B$1048573,A68,'LEAVE LOG'!C$1:C$1048573,"Maternity Leave",'LEAVE LOG'!G$1:G$1048573,"Approved")</f>
        <v>0</v>
      </c>
      <c r="H68">
        <f>SUMIFS('LEAVE LOG'!F$1:F$1048573,'LEAVE LOG'!B$1:B$1048573,A68,'LEAVE LOG'!C$1:C$1048573,"Marital Leave",'LEAVE LOG'!G$1:G$1048573,"Approved")</f>
        <v>0</v>
      </c>
      <c r="I68">
        <f>SUMIFS('LEAVE LOG'!F$1:F$1048573,'LEAVE LOG'!B$1:B$1048573,A68,'LEAVE LOG'!C$1:C$1048573,"Compassionate Leave",'LEAVE LOG'!G$1:G$1048573,"Approved")</f>
        <v>0</v>
      </c>
    </row>
    <row r="69" spans="1:9" x14ac:dyDescent="0.25">
      <c r="A69" t="str">
        <f>EMPLOYEES!B69</f>
        <v>Ajibola Deborah Idowu</v>
      </c>
      <c r="B69">
        <f>SUMIFS('LEAVE LOG'!F$1:F$1048573,'LEAVE LOG'!B$1:B$1048573,A69,'LEAVE LOG'!C$1:C$1048573,"Sick Leave",'LEAVE LOG'!G$1:G$1048573,"Approved")</f>
        <v>0</v>
      </c>
      <c r="C69">
        <f t="shared" si="2"/>
        <v>5</v>
      </c>
      <c r="D69">
        <f>SUMIFS('LEAVE LOG'!F$1:F$1048573,'LEAVE LOG'!B$1:B$1048573,A69,'LEAVE LOG'!C$1:C$1048573,"Annual Leave",'LEAVE LOG'!G$1:G$1048573,"Approved")</f>
        <v>0</v>
      </c>
      <c r="E69">
        <f t="shared" si="3"/>
        <v>10</v>
      </c>
      <c r="F69">
        <f>SUMIFS('LEAVE LOG'!F$1:F$1048573,'LEAVE LOG'!B$1:B$1048573,A69,'LEAVE LOG'!C$1:C$1048573,"Paternity Leave",'LEAVE LOG'!G$1:G$1048573,"Approved")</f>
        <v>0</v>
      </c>
      <c r="G69">
        <f>SUMIFS('LEAVE LOG'!F$1:F$1048573,'LEAVE LOG'!B$1:B$1048573,A69,'LEAVE LOG'!C$1:C$1048573,"Maternity Leave",'LEAVE LOG'!G$1:G$1048573,"Approved")</f>
        <v>0</v>
      </c>
      <c r="H69">
        <f>SUMIFS('LEAVE LOG'!F$1:F$1048573,'LEAVE LOG'!B$1:B$1048573,A69,'LEAVE LOG'!C$1:C$1048573,"Marital Leave",'LEAVE LOG'!G$1:G$1048573,"Approved")</f>
        <v>0</v>
      </c>
      <c r="I69">
        <f>SUMIFS('LEAVE LOG'!F$1:F$1048573,'LEAVE LOG'!B$1:B$1048573,A69,'LEAVE LOG'!C$1:C$1048573,"Compassionate Leave",'LEAVE LOG'!G$1:G$1048573,"Approved")</f>
        <v>0</v>
      </c>
    </row>
    <row r="70" spans="1:9" x14ac:dyDescent="0.25">
      <c r="A70" t="str">
        <f>EMPLOYEES!B70</f>
        <v>Morakinyo Gideon oluwapelumi</v>
      </c>
      <c r="B70">
        <f>SUMIFS('LEAVE LOG'!F$1:F$1048573,'LEAVE LOG'!B$1:B$1048573,A70,'LEAVE LOG'!C$1:C$1048573,"Sick Leave",'LEAVE LOG'!G$1:G$1048573,"Approved")</f>
        <v>0</v>
      </c>
      <c r="C70">
        <f t="shared" si="2"/>
        <v>5</v>
      </c>
      <c r="D70">
        <f>SUMIFS('LEAVE LOG'!F$1:F$1048573,'LEAVE LOG'!B$1:B$1048573,A70,'LEAVE LOG'!C$1:C$1048573,"Annual Leave",'LEAVE LOG'!G$1:G$1048573,"Approved")</f>
        <v>0</v>
      </c>
      <c r="E70">
        <f t="shared" si="3"/>
        <v>10</v>
      </c>
      <c r="F70">
        <f>SUMIFS('LEAVE LOG'!F$1:F$1048573,'LEAVE LOG'!B$1:B$1048573,A70,'LEAVE LOG'!C$1:C$1048573,"Paternity Leave",'LEAVE LOG'!G$1:G$1048573,"Approved")</f>
        <v>0</v>
      </c>
      <c r="G70">
        <f>SUMIFS('LEAVE LOG'!F$1:F$1048573,'LEAVE LOG'!B$1:B$1048573,A70,'LEAVE LOG'!C$1:C$1048573,"Maternity Leave",'LEAVE LOG'!G$1:G$1048573,"Approved")</f>
        <v>0</v>
      </c>
      <c r="H70">
        <f>SUMIFS('LEAVE LOG'!F$1:F$1048573,'LEAVE LOG'!B$1:B$1048573,A70,'LEAVE LOG'!C$1:C$1048573,"Marital Leave",'LEAVE LOG'!G$1:G$1048573,"Approved")</f>
        <v>0</v>
      </c>
      <c r="I70">
        <f>SUMIFS('LEAVE LOG'!F$1:F$1048573,'LEAVE LOG'!B$1:B$1048573,A70,'LEAVE LOG'!C$1:C$1048573,"Compassionate Leave",'LEAVE LOG'!G$1:G$1048573,"Approved")</f>
        <v>0</v>
      </c>
    </row>
    <row r="71" spans="1:9" x14ac:dyDescent="0.25">
      <c r="A71" t="str">
        <f>EMPLOYEES!B71</f>
        <v>Ochai Miracle Oyikowo</v>
      </c>
      <c r="B71">
        <f>SUMIFS('LEAVE LOG'!F$1:F$1048573,'LEAVE LOG'!B$1:B$1048573,A71,'LEAVE LOG'!C$1:C$1048573,"Sick Leave",'LEAVE LOG'!G$1:G$1048573,"Approved")</f>
        <v>0</v>
      </c>
      <c r="C71">
        <f t="shared" si="2"/>
        <v>5</v>
      </c>
      <c r="D71">
        <f>SUMIFS('LEAVE LOG'!F$1:F$1048573,'LEAVE LOG'!B$1:B$1048573,A71,'LEAVE LOG'!C$1:C$1048573,"Annual Leave",'LEAVE LOG'!G$1:G$1048573,"Approved")</f>
        <v>0</v>
      </c>
      <c r="E71">
        <f t="shared" si="3"/>
        <v>10</v>
      </c>
      <c r="F71">
        <f>SUMIFS('LEAVE LOG'!F$1:F$1048573,'LEAVE LOG'!B$1:B$1048573,A71,'LEAVE LOG'!C$1:C$1048573,"Paternity Leave",'LEAVE LOG'!G$1:G$1048573,"Approved")</f>
        <v>0</v>
      </c>
      <c r="G71">
        <f>SUMIFS('LEAVE LOG'!F$1:F$1048573,'LEAVE LOG'!B$1:B$1048573,A71,'LEAVE LOG'!C$1:C$1048573,"Maternity Leave",'LEAVE LOG'!G$1:G$1048573,"Approved")</f>
        <v>0</v>
      </c>
      <c r="H71">
        <f>SUMIFS('LEAVE LOG'!F$1:F$1048573,'LEAVE LOG'!B$1:B$1048573,A71,'LEAVE LOG'!C$1:C$1048573,"Marital Leave",'LEAVE LOG'!G$1:G$1048573,"Approved")</f>
        <v>0</v>
      </c>
      <c r="I71">
        <f>SUMIFS('LEAVE LOG'!F$1:F$1048573,'LEAVE LOG'!B$1:B$1048573,A71,'LEAVE LOG'!C$1:C$1048573,"Compassionate Leave",'LEAVE LOG'!G$1:G$1048573,"Approved")</f>
        <v>0</v>
      </c>
    </row>
    <row r="72" spans="1:9" x14ac:dyDescent="0.25">
      <c r="A72" t="str">
        <f>EMPLOYEES!B72</f>
        <v>Ogidiolu Oluwashina Daniel</v>
      </c>
      <c r="B72">
        <f>SUMIFS('LEAVE LOG'!F$1:F$1048573,'LEAVE LOG'!B$1:B$1048573,A72,'LEAVE LOG'!C$1:C$1048573,"Sick Leave",'LEAVE LOG'!G$1:G$1048573,"Approved")</f>
        <v>2</v>
      </c>
      <c r="C72">
        <f t="shared" si="2"/>
        <v>3</v>
      </c>
      <c r="D72">
        <f>SUMIFS('LEAVE LOG'!F$1:F$1048573,'LEAVE LOG'!B$1:B$1048573,A72,'LEAVE LOG'!C$1:C$1048573,"Annual Leave",'LEAVE LOG'!G$1:G$1048573,"Approved")</f>
        <v>0</v>
      </c>
      <c r="E72">
        <f t="shared" si="3"/>
        <v>10</v>
      </c>
      <c r="F72">
        <f>SUMIFS('LEAVE LOG'!F$1:F$1048573,'LEAVE LOG'!B$1:B$1048573,A72,'LEAVE LOG'!C$1:C$1048573,"Paternity Leave",'LEAVE LOG'!G$1:G$1048573,"Approved")</f>
        <v>0</v>
      </c>
      <c r="G72">
        <f>SUMIFS('LEAVE LOG'!F$1:F$1048573,'LEAVE LOG'!B$1:B$1048573,A72,'LEAVE LOG'!C$1:C$1048573,"Maternity Leave",'LEAVE LOG'!G$1:G$1048573,"Approved")</f>
        <v>0</v>
      </c>
      <c r="H72">
        <f>SUMIFS('LEAVE LOG'!F$1:F$1048573,'LEAVE LOG'!B$1:B$1048573,A72,'LEAVE LOG'!C$1:C$1048573,"Marital Leave",'LEAVE LOG'!G$1:G$1048573,"Approved")</f>
        <v>0</v>
      </c>
      <c r="I72">
        <f>SUMIFS('LEAVE LOG'!F$1:F$1048573,'LEAVE LOG'!B$1:B$1048573,A72,'LEAVE LOG'!C$1:C$1048573,"Compassionate Leave",'LEAVE LOG'!G$1:G$1048573,"Approved")</f>
        <v>0</v>
      </c>
    </row>
    <row r="73" spans="1:9" x14ac:dyDescent="0.25">
      <c r="A73" t="str">
        <f>EMPLOYEES!B73</f>
        <v>Ojo adenike olufunke</v>
      </c>
      <c r="B73">
        <f>SUMIFS('LEAVE LOG'!F$1:F$1048573,'LEAVE LOG'!B$1:B$1048573,A73,'LEAVE LOG'!C$1:C$1048573,"Sick Leave",'LEAVE LOG'!G$1:G$1048573,"Approved")</f>
        <v>0</v>
      </c>
      <c r="C73">
        <f t="shared" si="2"/>
        <v>5</v>
      </c>
      <c r="D73">
        <f>SUMIFS('LEAVE LOG'!F$1:F$1048573,'LEAVE LOG'!B$1:B$1048573,A73,'LEAVE LOG'!C$1:C$1048573,"Annual Leave",'LEAVE LOG'!G$1:G$1048573,"Approved")</f>
        <v>0</v>
      </c>
      <c r="E73">
        <f t="shared" si="3"/>
        <v>10</v>
      </c>
      <c r="F73">
        <f>SUMIFS('LEAVE LOG'!F$1:F$1048573,'LEAVE LOG'!B$1:B$1048573,A73,'LEAVE LOG'!C$1:C$1048573,"Paternity Leave",'LEAVE LOG'!G$1:G$1048573,"Approved")</f>
        <v>0</v>
      </c>
      <c r="G73">
        <f>SUMIFS('LEAVE LOG'!F$1:F$1048573,'LEAVE LOG'!B$1:B$1048573,A73,'LEAVE LOG'!C$1:C$1048573,"Maternity Leave",'LEAVE LOG'!G$1:G$1048573,"Approved")</f>
        <v>0</v>
      </c>
      <c r="H73">
        <f>SUMIFS('LEAVE LOG'!F$1:F$1048573,'LEAVE LOG'!B$1:B$1048573,A73,'LEAVE LOG'!C$1:C$1048573,"Marital Leave",'LEAVE LOG'!G$1:G$1048573,"Approved")</f>
        <v>0</v>
      </c>
      <c r="I73">
        <f>SUMIFS('LEAVE LOG'!F$1:F$1048573,'LEAVE LOG'!B$1:B$1048573,A73,'LEAVE LOG'!C$1:C$1048573,"Compassionate Leave",'LEAVE LOG'!G$1:G$1048573,"Approved")</f>
        <v>0</v>
      </c>
    </row>
    <row r="74" spans="1:9" x14ac:dyDescent="0.25">
      <c r="A74" t="str">
        <f>EMPLOYEES!B74</f>
        <v>Ojo precious ayomide</v>
      </c>
      <c r="B74">
        <f>SUMIFS('LEAVE LOG'!F$1:F$1048573,'LEAVE LOG'!B$1:B$1048573,A74,'LEAVE LOG'!C$1:C$1048573,"Sick Leave",'LEAVE LOG'!G$1:G$1048573,"Approved")</f>
        <v>0</v>
      </c>
      <c r="C74">
        <f t="shared" si="2"/>
        <v>5</v>
      </c>
      <c r="D74">
        <f>SUMIFS('LEAVE LOG'!F$1:F$1048573,'LEAVE LOG'!B$1:B$1048573,A74,'LEAVE LOG'!C$1:C$1048573,"Annual Leave",'LEAVE LOG'!G$1:G$1048573,"Approved")</f>
        <v>0</v>
      </c>
      <c r="E74">
        <f t="shared" si="3"/>
        <v>10</v>
      </c>
      <c r="F74">
        <f>SUMIFS('LEAVE LOG'!F$1:F$1048573,'LEAVE LOG'!B$1:B$1048573,A74,'LEAVE LOG'!C$1:C$1048573,"Paternity Leave",'LEAVE LOG'!G$1:G$1048573,"Approved")</f>
        <v>0</v>
      </c>
      <c r="G74">
        <f>SUMIFS('LEAVE LOG'!F$1:F$1048573,'LEAVE LOG'!B$1:B$1048573,A74,'LEAVE LOG'!C$1:C$1048573,"Maternity Leave",'LEAVE LOG'!G$1:G$1048573,"Approved")</f>
        <v>0</v>
      </c>
      <c r="H74">
        <f>SUMIFS('LEAVE LOG'!F$1:F$1048573,'LEAVE LOG'!B$1:B$1048573,A74,'LEAVE LOG'!C$1:C$1048573,"Marital Leave",'LEAVE LOG'!G$1:G$1048573,"Approved")</f>
        <v>0</v>
      </c>
      <c r="I74">
        <f>SUMIFS('LEAVE LOG'!F$1:F$1048573,'LEAVE LOG'!B$1:B$1048573,A74,'LEAVE LOG'!C$1:C$1048573,"Compassionate Leave",'LEAVE LOG'!G$1:G$1048573,"Approved")</f>
        <v>0</v>
      </c>
    </row>
    <row r="75" spans="1:9" x14ac:dyDescent="0.25">
      <c r="A75" t="str">
        <f>EMPLOYEES!B75</f>
        <v>Okoh Gift Aboselume</v>
      </c>
      <c r="B75">
        <f>SUMIFS('LEAVE LOG'!F$1:F$1048573,'LEAVE LOG'!B$1:B$1048573,A75,'LEAVE LOG'!C$1:C$1048573,"Sick Leave",'LEAVE LOG'!G$1:G$1048573,"Approved")</f>
        <v>0</v>
      </c>
      <c r="C75">
        <f t="shared" si="2"/>
        <v>5</v>
      </c>
      <c r="D75">
        <f>SUMIFS('LEAVE LOG'!F$1:F$1048573,'LEAVE LOG'!B$1:B$1048573,A75,'LEAVE LOG'!C$1:C$1048573,"Annual Leave",'LEAVE LOG'!G$1:G$1048573,"Approved")</f>
        <v>0</v>
      </c>
      <c r="E75">
        <f t="shared" si="3"/>
        <v>10</v>
      </c>
      <c r="F75">
        <f>SUMIFS('LEAVE LOG'!F$1:F$1048573,'LEAVE LOG'!B$1:B$1048573,A75,'LEAVE LOG'!C$1:C$1048573,"Paternity Leave",'LEAVE LOG'!G$1:G$1048573,"Approved")</f>
        <v>0</v>
      </c>
      <c r="G75">
        <f>SUMIFS('LEAVE LOG'!F$1:F$1048573,'LEAVE LOG'!B$1:B$1048573,A75,'LEAVE LOG'!C$1:C$1048573,"Maternity Leave",'LEAVE LOG'!G$1:G$1048573,"Approved")</f>
        <v>0</v>
      </c>
      <c r="H75">
        <f>SUMIFS('LEAVE LOG'!F$1:F$1048573,'LEAVE LOG'!B$1:B$1048573,A75,'LEAVE LOG'!C$1:C$1048573,"Marital Leave",'LEAVE LOG'!G$1:G$1048573,"Approved")</f>
        <v>0</v>
      </c>
      <c r="I75">
        <f>SUMIFS('LEAVE LOG'!F$1:F$1048573,'LEAVE LOG'!B$1:B$1048573,A75,'LEAVE LOG'!C$1:C$1048573,"Compassionate Leave",'LEAVE LOG'!G$1:G$1048573,"Approved")</f>
        <v>0</v>
      </c>
    </row>
    <row r="76" spans="1:9" x14ac:dyDescent="0.25">
      <c r="A76" t="str">
        <f>EMPLOYEES!B76</f>
        <v>Okoi famous obeten</v>
      </c>
      <c r="B76">
        <f>SUMIFS('LEAVE LOG'!F$1:F$1048573,'LEAVE LOG'!B$1:B$1048573,A76,'LEAVE LOG'!C$1:C$1048573,"Sick Leave",'LEAVE LOG'!G$1:G$1048573,"Approved")</f>
        <v>0</v>
      </c>
      <c r="C76">
        <f t="shared" si="2"/>
        <v>5</v>
      </c>
      <c r="D76">
        <f>SUMIFS('LEAVE LOG'!F$1:F$1048573,'LEAVE LOG'!B$1:B$1048573,A76,'LEAVE LOG'!C$1:C$1048573,"Annual Leave",'LEAVE LOG'!G$1:G$1048573,"Approved")</f>
        <v>0</v>
      </c>
      <c r="E76">
        <f t="shared" si="3"/>
        <v>10</v>
      </c>
      <c r="F76">
        <f>SUMIFS('LEAVE LOG'!F$1:F$1048573,'LEAVE LOG'!B$1:B$1048573,A76,'LEAVE LOG'!C$1:C$1048573,"Paternity Leave",'LEAVE LOG'!G$1:G$1048573,"Approved")</f>
        <v>0</v>
      </c>
      <c r="G76">
        <f>SUMIFS('LEAVE LOG'!F$1:F$1048573,'LEAVE LOG'!B$1:B$1048573,A76,'LEAVE LOG'!C$1:C$1048573,"Maternity Leave",'LEAVE LOG'!G$1:G$1048573,"Approved")</f>
        <v>0</v>
      </c>
      <c r="H76">
        <f>SUMIFS('LEAVE LOG'!F$1:F$1048573,'LEAVE LOG'!B$1:B$1048573,A76,'LEAVE LOG'!C$1:C$1048573,"Marital Leave",'LEAVE LOG'!G$1:G$1048573,"Approved")</f>
        <v>0</v>
      </c>
      <c r="I76">
        <f>SUMIFS('LEAVE LOG'!F$1:F$1048573,'LEAVE LOG'!B$1:B$1048573,A76,'LEAVE LOG'!C$1:C$1048573,"Compassionate Leave",'LEAVE LOG'!G$1:G$1048573,"Approved")</f>
        <v>0</v>
      </c>
    </row>
    <row r="77" spans="1:9" x14ac:dyDescent="0.25">
      <c r="A77" t="str">
        <f>EMPLOYEES!B77</f>
        <v>Oladeji Ololade Rhoda</v>
      </c>
      <c r="B77">
        <f>SUMIFS('LEAVE LOG'!F$1:F$1048573,'LEAVE LOG'!B$1:B$1048573,A77,'LEAVE LOG'!C$1:C$1048573,"Sick Leave",'LEAVE LOG'!G$1:G$1048573,"Approved")</f>
        <v>0</v>
      </c>
      <c r="C77">
        <f t="shared" si="2"/>
        <v>5</v>
      </c>
      <c r="D77">
        <f>SUMIFS('LEAVE LOG'!F$1:F$1048573,'LEAVE LOG'!B$1:B$1048573,A77,'LEAVE LOG'!C$1:C$1048573,"Annual Leave",'LEAVE LOG'!G$1:G$1048573,"Approved")</f>
        <v>0</v>
      </c>
      <c r="E77">
        <f t="shared" si="3"/>
        <v>10</v>
      </c>
      <c r="F77">
        <f>SUMIFS('LEAVE LOG'!F$1:F$1048573,'LEAVE LOG'!B$1:B$1048573,A77,'LEAVE LOG'!C$1:C$1048573,"Paternity Leave",'LEAVE LOG'!G$1:G$1048573,"Approved")</f>
        <v>0</v>
      </c>
      <c r="G77">
        <f>SUMIFS('LEAVE LOG'!F$1:F$1048573,'LEAVE LOG'!B$1:B$1048573,A77,'LEAVE LOG'!C$1:C$1048573,"Maternity Leave",'LEAVE LOG'!G$1:G$1048573,"Approved")</f>
        <v>0</v>
      </c>
      <c r="H77">
        <f>SUMIFS('LEAVE LOG'!F$1:F$1048573,'LEAVE LOG'!B$1:B$1048573,A77,'LEAVE LOG'!C$1:C$1048573,"Marital Leave",'LEAVE LOG'!G$1:G$1048573,"Approved")</f>
        <v>0</v>
      </c>
      <c r="I77">
        <f>SUMIFS('LEAVE LOG'!F$1:F$1048573,'LEAVE LOG'!B$1:B$1048573,A77,'LEAVE LOG'!C$1:C$1048573,"Compassionate Leave",'LEAVE LOG'!G$1:G$1048573,"Approved")</f>
        <v>0</v>
      </c>
    </row>
    <row r="78" spans="1:9" x14ac:dyDescent="0.25">
      <c r="A78" t="str">
        <f>EMPLOYEES!B78</f>
        <v>Oladipupo funmilayo itunu</v>
      </c>
      <c r="B78">
        <f>SUMIFS('LEAVE LOG'!F$1:F$1048573,'LEAVE LOG'!B$1:B$1048573,A78,'LEAVE LOG'!C$1:C$1048573,"Sick Leave",'LEAVE LOG'!G$1:G$1048573,"Approved")</f>
        <v>0</v>
      </c>
      <c r="C78">
        <f t="shared" si="2"/>
        <v>5</v>
      </c>
      <c r="D78">
        <f>SUMIFS('LEAVE LOG'!F$1:F$1048573,'LEAVE LOG'!B$1:B$1048573,A78,'LEAVE LOG'!C$1:C$1048573,"Annual Leave",'LEAVE LOG'!G$1:G$1048573,"Approved")</f>
        <v>0</v>
      </c>
      <c r="E78">
        <f t="shared" si="3"/>
        <v>10</v>
      </c>
      <c r="F78">
        <f>SUMIFS('LEAVE LOG'!F$1:F$1048573,'LEAVE LOG'!B$1:B$1048573,A78,'LEAVE LOG'!C$1:C$1048573,"Paternity Leave",'LEAVE LOG'!G$1:G$1048573,"Approved")</f>
        <v>0</v>
      </c>
      <c r="G78">
        <f>SUMIFS('LEAVE LOG'!F$1:F$1048573,'LEAVE LOG'!B$1:B$1048573,A78,'LEAVE LOG'!C$1:C$1048573,"Maternity Leave",'LEAVE LOG'!G$1:G$1048573,"Approved")</f>
        <v>0</v>
      </c>
      <c r="H78">
        <f>SUMIFS('LEAVE LOG'!F$1:F$1048573,'LEAVE LOG'!B$1:B$1048573,A78,'LEAVE LOG'!C$1:C$1048573,"Marital Leave",'LEAVE LOG'!G$1:G$1048573,"Approved")</f>
        <v>0</v>
      </c>
      <c r="I78">
        <f>SUMIFS('LEAVE LOG'!F$1:F$1048573,'LEAVE LOG'!B$1:B$1048573,A78,'LEAVE LOG'!C$1:C$1048573,"Compassionate Leave",'LEAVE LOG'!G$1:G$1048573,"Approved")</f>
        <v>0</v>
      </c>
    </row>
    <row r="79" spans="1:9" x14ac:dyDescent="0.25">
      <c r="A79" t="str">
        <f>EMPLOYEES!B79</f>
        <v>Oladipupo Mary Boluwatife</v>
      </c>
      <c r="B79">
        <f>SUMIFS('LEAVE LOG'!F$1:F$1048573,'LEAVE LOG'!B$1:B$1048573,A79,'LEAVE LOG'!C$1:C$1048573,"Sick Leave",'LEAVE LOG'!G$1:G$1048573,"Approved")</f>
        <v>0</v>
      </c>
      <c r="C79">
        <f t="shared" si="2"/>
        <v>5</v>
      </c>
      <c r="D79">
        <f>SUMIFS('LEAVE LOG'!F$1:F$1048573,'LEAVE LOG'!B$1:B$1048573,A79,'LEAVE LOG'!C$1:C$1048573,"Annual Leave",'LEAVE LOG'!G$1:G$1048573,"Approved")</f>
        <v>0</v>
      </c>
      <c r="E79">
        <f t="shared" si="3"/>
        <v>10</v>
      </c>
      <c r="F79">
        <f>SUMIFS('LEAVE LOG'!F$1:F$1048573,'LEAVE LOG'!B$1:B$1048573,A79,'LEAVE LOG'!C$1:C$1048573,"Paternity Leave",'LEAVE LOG'!G$1:G$1048573,"Approved")</f>
        <v>0</v>
      </c>
      <c r="G79">
        <f>SUMIFS('LEAVE LOG'!F$1:F$1048573,'LEAVE LOG'!B$1:B$1048573,A79,'LEAVE LOG'!C$1:C$1048573,"Maternity Leave",'LEAVE LOG'!G$1:G$1048573,"Approved")</f>
        <v>0</v>
      </c>
      <c r="H79">
        <f>SUMIFS('LEAVE LOG'!F$1:F$1048573,'LEAVE LOG'!B$1:B$1048573,A79,'LEAVE LOG'!C$1:C$1048573,"Marital Leave",'LEAVE LOG'!G$1:G$1048573,"Approved")</f>
        <v>0</v>
      </c>
      <c r="I79">
        <f>SUMIFS('LEAVE LOG'!F$1:F$1048573,'LEAVE LOG'!B$1:B$1048573,A79,'LEAVE LOG'!C$1:C$1048573,"Compassionate Leave",'LEAVE LOG'!G$1:G$1048573,"Approved")</f>
        <v>0</v>
      </c>
    </row>
    <row r="80" spans="1:9" x14ac:dyDescent="0.25">
      <c r="A80" t="str">
        <f>EMPLOYEES!B80</f>
        <v>Oladosu Josephine Oluwabukola</v>
      </c>
      <c r="B80">
        <f>SUMIFS('LEAVE LOG'!F$1:F$1048573,'LEAVE LOG'!B$1:B$1048573,A80,'LEAVE LOG'!C$1:C$1048573,"Sick Leave",'LEAVE LOG'!G$1:G$1048573,"Approved")</f>
        <v>0</v>
      </c>
      <c r="C80">
        <f t="shared" si="2"/>
        <v>5</v>
      </c>
      <c r="D80">
        <f>SUMIFS('LEAVE LOG'!F$1:F$1048573,'LEAVE LOG'!B$1:B$1048573,A80,'LEAVE LOG'!C$1:C$1048573,"Annual Leave",'LEAVE LOG'!G$1:G$1048573,"Approved")</f>
        <v>0</v>
      </c>
      <c r="E80">
        <f t="shared" si="3"/>
        <v>10</v>
      </c>
      <c r="F80">
        <f>SUMIFS('LEAVE LOG'!F$1:F$1048573,'LEAVE LOG'!B$1:B$1048573,A80,'LEAVE LOG'!C$1:C$1048573,"Paternity Leave",'LEAVE LOG'!G$1:G$1048573,"Approved")</f>
        <v>0</v>
      </c>
      <c r="G80">
        <f>SUMIFS('LEAVE LOG'!F$1:F$1048573,'LEAVE LOG'!B$1:B$1048573,A80,'LEAVE LOG'!C$1:C$1048573,"Maternity Leave",'LEAVE LOG'!G$1:G$1048573,"Approved")</f>
        <v>0</v>
      </c>
      <c r="H80">
        <f>SUMIFS('LEAVE LOG'!F$1:F$1048573,'LEAVE LOG'!B$1:B$1048573,A80,'LEAVE LOG'!C$1:C$1048573,"Marital Leave",'LEAVE LOG'!G$1:G$1048573,"Approved")</f>
        <v>0</v>
      </c>
      <c r="I80">
        <f>SUMIFS('LEAVE LOG'!F$1:F$1048573,'LEAVE LOG'!B$1:B$1048573,A80,'LEAVE LOG'!C$1:C$1048573,"Compassionate Leave",'LEAVE LOG'!G$1:G$1048573,"Approved")</f>
        <v>0</v>
      </c>
    </row>
    <row r="81" spans="1:9" x14ac:dyDescent="0.25">
      <c r="A81" t="str">
        <f>EMPLOYEES!B81</f>
        <v>OLADOSU KEHINDE MARY</v>
      </c>
      <c r="B81">
        <f>SUMIFS('LEAVE LOG'!F$1:F$1048573,'LEAVE LOG'!B$1:B$1048573,A81,'LEAVE LOG'!C$1:C$1048573,"Sick Leave",'LEAVE LOG'!G$1:G$1048573,"Approved")</f>
        <v>2</v>
      </c>
      <c r="C81">
        <f t="shared" si="2"/>
        <v>3</v>
      </c>
      <c r="D81">
        <f>SUMIFS('LEAVE LOG'!F$1:F$1048573,'LEAVE LOG'!B$1:B$1048573,A81,'LEAVE LOG'!C$1:C$1048573,"Annual Leave",'LEAVE LOG'!G$1:G$1048573,"Approved")</f>
        <v>0</v>
      </c>
      <c r="E81">
        <f t="shared" si="3"/>
        <v>10</v>
      </c>
      <c r="F81">
        <f>SUMIFS('LEAVE LOG'!F$1:F$1048573,'LEAVE LOG'!B$1:B$1048573,A81,'LEAVE LOG'!C$1:C$1048573,"Paternity Leave",'LEAVE LOG'!G$1:G$1048573,"Approved")</f>
        <v>0</v>
      </c>
      <c r="G81">
        <f>SUMIFS('LEAVE LOG'!F$1:F$1048573,'LEAVE LOG'!B$1:B$1048573,A81,'LEAVE LOG'!C$1:C$1048573,"Maternity Leave",'LEAVE LOG'!G$1:G$1048573,"Approved")</f>
        <v>0</v>
      </c>
      <c r="H81">
        <f>SUMIFS('LEAVE LOG'!F$1:F$1048573,'LEAVE LOG'!B$1:B$1048573,A81,'LEAVE LOG'!C$1:C$1048573,"Marital Leave",'LEAVE LOG'!G$1:G$1048573,"Approved")</f>
        <v>0</v>
      </c>
      <c r="I81">
        <f>SUMIFS('LEAVE LOG'!F$1:F$1048573,'LEAVE LOG'!B$1:B$1048573,A81,'LEAVE LOG'!C$1:C$1048573,"Compassionate Leave",'LEAVE LOG'!G$1:G$1048573,"Approved")</f>
        <v>0</v>
      </c>
    </row>
    <row r="82" spans="1:9" x14ac:dyDescent="0.25">
      <c r="A82" t="str">
        <f>EMPLOYEES!B82</f>
        <v>Olagunju Aishat Olaide</v>
      </c>
      <c r="B82">
        <f>SUMIFS('LEAVE LOG'!F$1:F$1048573,'LEAVE LOG'!B$1:B$1048573,A82,'LEAVE LOG'!C$1:C$1048573,"Sick Leave",'LEAVE LOG'!G$1:G$1048573,"Approved")</f>
        <v>5</v>
      </c>
      <c r="C82">
        <f t="shared" si="2"/>
        <v>0</v>
      </c>
      <c r="D82">
        <f>SUMIFS('LEAVE LOG'!F$1:F$1048573,'LEAVE LOG'!B$1:B$1048573,A82,'LEAVE LOG'!C$1:C$1048573,"Annual Leave",'LEAVE LOG'!G$1:G$1048573,"Approved")</f>
        <v>0</v>
      </c>
      <c r="E82">
        <f t="shared" si="3"/>
        <v>10</v>
      </c>
      <c r="F82">
        <f>SUMIFS('LEAVE LOG'!F$1:F$1048573,'LEAVE LOG'!B$1:B$1048573,A82,'LEAVE LOG'!C$1:C$1048573,"Paternity Leave",'LEAVE LOG'!G$1:G$1048573,"Approved")</f>
        <v>0</v>
      </c>
      <c r="G82">
        <f>SUMIFS('LEAVE LOG'!F$1:F$1048573,'LEAVE LOG'!B$1:B$1048573,A82,'LEAVE LOG'!C$1:C$1048573,"Maternity Leave",'LEAVE LOG'!G$1:G$1048573,"Approved")</f>
        <v>0</v>
      </c>
      <c r="H82">
        <f>SUMIFS('LEAVE LOG'!F$1:F$1048573,'LEAVE LOG'!B$1:B$1048573,A82,'LEAVE LOG'!C$1:C$1048573,"Marital Leave",'LEAVE LOG'!G$1:G$1048573,"Approved")</f>
        <v>0</v>
      </c>
      <c r="I82">
        <f>SUMIFS('LEAVE LOG'!F$1:F$1048573,'LEAVE LOG'!B$1:B$1048573,A82,'LEAVE LOG'!C$1:C$1048573,"Compassionate Leave",'LEAVE LOG'!G$1:G$1048573,"Approved")</f>
        <v>0</v>
      </c>
    </row>
    <row r="83" spans="1:9" x14ac:dyDescent="0.25">
      <c r="A83" t="str">
        <f>EMPLOYEES!B83</f>
        <v>Olaiya Saidat Olajumoke</v>
      </c>
      <c r="B83">
        <f>SUMIFS('LEAVE LOG'!F$1:F$1048573,'LEAVE LOG'!B$1:B$1048573,A83,'LEAVE LOG'!C$1:C$1048573,"Sick Leave",'LEAVE LOG'!G$1:G$1048573,"Approved")</f>
        <v>0</v>
      </c>
      <c r="C83">
        <f t="shared" si="2"/>
        <v>5</v>
      </c>
      <c r="D83">
        <f>SUMIFS('LEAVE LOG'!F$1:F$1048573,'LEAVE LOG'!B$1:B$1048573,A83,'LEAVE LOG'!C$1:C$1048573,"Annual Leave",'LEAVE LOG'!G$1:G$1048573,"Approved")</f>
        <v>0</v>
      </c>
      <c r="E83">
        <f t="shared" si="3"/>
        <v>10</v>
      </c>
      <c r="F83">
        <f>SUMIFS('LEAVE LOG'!F$1:F$1048573,'LEAVE LOG'!B$1:B$1048573,A83,'LEAVE LOG'!C$1:C$1048573,"Paternity Leave",'LEAVE LOG'!G$1:G$1048573,"Approved")</f>
        <v>0</v>
      </c>
      <c r="G83">
        <f>SUMIFS('LEAVE LOG'!F$1:F$1048573,'LEAVE LOG'!B$1:B$1048573,A83,'LEAVE LOG'!C$1:C$1048573,"Maternity Leave",'LEAVE LOG'!G$1:G$1048573,"Approved")</f>
        <v>0</v>
      </c>
      <c r="H83">
        <f>SUMIFS('LEAVE LOG'!F$1:F$1048573,'LEAVE LOG'!B$1:B$1048573,A83,'LEAVE LOG'!C$1:C$1048573,"Marital Leave",'LEAVE LOG'!G$1:G$1048573,"Approved")</f>
        <v>0</v>
      </c>
      <c r="I83">
        <f>SUMIFS('LEAVE LOG'!F$1:F$1048573,'LEAVE LOG'!B$1:B$1048573,A83,'LEAVE LOG'!C$1:C$1048573,"Compassionate Leave",'LEAVE LOG'!G$1:G$1048573,"Approved")</f>
        <v>0</v>
      </c>
    </row>
    <row r="84" spans="1:9" x14ac:dyDescent="0.25">
      <c r="A84" t="str">
        <f>EMPLOYEES!B84</f>
        <v>Olamide Adesanwo</v>
      </c>
      <c r="B84">
        <f>SUMIFS('LEAVE LOG'!F$1:F$1048573,'LEAVE LOG'!B$1:B$1048573,A84,'LEAVE LOG'!C$1:C$1048573,"Sick Leave",'LEAVE LOG'!G$1:G$1048573,"Approved")</f>
        <v>0</v>
      </c>
      <c r="C84">
        <f t="shared" si="2"/>
        <v>5</v>
      </c>
      <c r="D84">
        <f>SUMIFS('LEAVE LOG'!F$1:F$1048573,'LEAVE LOG'!B$1:B$1048573,A84,'LEAVE LOG'!C$1:C$1048573,"Annual Leave",'LEAVE LOG'!G$1:G$1048573,"Approved")</f>
        <v>0</v>
      </c>
      <c r="E84">
        <f t="shared" si="3"/>
        <v>10</v>
      </c>
      <c r="F84">
        <f>SUMIFS('LEAVE LOG'!F$1:F$1048573,'LEAVE LOG'!B$1:B$1048573,A84,'LEAVE LOG'!C$1:C$1048573,"Paternity Leave",'LEAVE LOG'!G$1:G$1048573,"Approved")</f>
        <v>0</v>
      </c>
      <c r="G84">
        <f>SUMIFS('LEAVE LOG'!F$1:F$1048573,'LEAVE LOG'!B$1:B$1048573,A84,'LEAVE LOG'!C$1:C$1048573,"Maternity Leave",'LEAVE LOG'!G$1:G$1048573,"Approved")</f>
        <v>0</v>
      </c>
      <c r="H84">
        <f>SUMIFS('LEAVE LOG'!F$1:F$1048573,'LEAVE LOG'!B$1:B$1048573,A84,'LEAVE LOG'!C$1:C$1048573,"Marital Leave",'LEAVE LOG'!G$1:G$1048573,"Approved")</f>
        <v>0</v>
      </c>
      <c r="I84">
        <f>SUMIFS('LEAVE LOG'!F$1:F$1048573,'LEAVE LOG'!B$1:B$1048573,A84,'LEAVE LOG'!C$1:C$1048573,"Compassionate Leave",'LEAVE LOG'!G$1:G$1048573,"Approved")</f>
        <v>0</v>
      </c>
    </row>
    <row r="85" spans="1:9" x14ac:dyDescent="0.25">
      <c r="A85" t="str">
        <f>EMPLOYEES!B85</f>
        <v>Olamilekan Hammed Durodola</v>
      </c>
      <c r="B85">
        <f>SUMIFS('LEAVE LOG'!F$1:F$1048573,'LEAVE LOG'!B$1:B$1048573,A85,'LEAVE LOG'!C$1:C$1048573,"Sick Leave",'LEAVE LOG'!G$1:G$1048573,"Approved")</f>
        <v>0</v>
      </c>
      <c r="C85">
        <f t="shared" si="2"/>
        <v>5</v>
      </c>
      <c r="D85">
        <f>SUMIFS('LEAVE LOG'!F$1:F$1048573,'LEAVE LOG'!B$1:B$1048573,A85,'LEAVE LOG'!C$1:C$1048573,"Annual Leave",'LEAVE LOG'!G$1:G$1048573,"Approved")</f>
        <v>0</v>
      </c>
      <c r="E85">
        <f t="shared" si="3"/>
        <v>10</v>
      </c>
      <c r="F85">
        <f>SUMIFS('LEAVE LOG'!F$1:F$1048573,'LEAVE LOG'!B$1:B$1048573,A85,'LEAVE LOG'!C$1:C$1048573,"Paternity Leave",'LEAVE LOG'!G$1:G$1048573,"Approved")</f>
        <v>0</v>
      </c>
      <c r="G85">
        <f>SUMIFS('LEAVE LOG'!F$1:F$1048573,'LEAVE LOG'!B$1:B$1048573,A85,'LEAVE LOG'!C$1:C$1048573,"Maternity Leave",'LEAVE LOG'!G$1:G$1048573,"Approved")</f>
        <v>0</v>
      </c>
      <c r="H85">
        <f>SUMIFS('LEAVE LOG'!F$1:F$1048573,'LEAVE LOG'!B$1:B$1048573,A85,'LEAVE LOG'!C$1:C$1048573,"Marital Leave",'LEAVE LOG'!G$1:G$1048573,"Approved")</f>
        <v>0</v>
      </c>
      <c r="I85">
        <f>SUMIFS('LEAVE LOG'!F$1:F$1048573,'LEAVE LOG'!B$1:B$1048573,A85,'LEAVE LOG'!C$1:C$1048573,"Compassionate Leave",'LEAVE LOG'!G$1:G$1048573,"Approved")</f>
        <v>0</v>
      </c>
    </row>
    <row r="86" spans="1:9" x14ac:dyDescent="0.25">
      <c r="A86" t="str">
        <f>EMPLOYEES!B86</f>
        <v>Olarewaju Folakemi Suliat</v>
      </c>
      <c r="B86">
        <f>SUMIFS('LEAVE LOG'!F$1:F$1048573,'LEAVE LOG'!B$1:B$1048573,A86,'LEAVE LOG'!C$1:C$1048573,"Sick Leave",'LEAVE LOG'!G$1:G$1048573,"Approved")</f>
        <v>0</v>
      </c>
      <c r="C86">
        <f t="shared" si="2"/>
        <v>5</v>
      </c>
      <c r="D86">
        <f>SUMIFS('LEAVE LOG'!F$1:F$1048573,'LEAVE LOG'!B$1:B$1048573,A86,'LEAVE LOG'!C$1:C$1048573,"Annual Leave",'LEAVE LOG'!G$1:G$1048573,"Approved")</f>
        <v>0</v>
      </c>
      <c r="E86">
        <f t="shared" si="3"/>
        <v>10</v>
      </c>
      <c r="F86">
        <f>SUMIFS('LEAVE LOG'!F$1:F$1048573,'LEAVE LOG'!B$1:B$1048573,A86,'LEAVE LOG'!C$1:C$1048573,"Paternity Leave",'LEAVE LOG'!G$1:G$1048573,"Approved")</f>
        <v>0</v>
      </c>
      <c r="G86">
        <f>SUMIFS('LEAVE LOG'!F$1:F$1048573,'LEAVE LOG'!B$1:B$1048573,A86,'LEAVE LOG'!C$1:C$1048573,"Maternity Leave",'LEAVE LOG'!G$1:G$1048573,"Approved")</f>
        <v>0</v>
      </c>
      <c r="H86">
        <f>SUMIFS('LEAVE LOG'!F$1:F$1048573,'LEAVE LOG'!B$1:B$1048573,A86,'LEAVE LOG'!C$1:C$1048573,"Marital Leave",'LEAVE LOG'!G$1:G$1048573,"Approved")</f>
        <v>0</v>
      </c>
      <c r="I86">
        <f>SUMIFS('LEAVE LOG'!F$1:F$1048573,'LEAVE LOG'!B$1:B$1048573,A86,'LEAVE LOG'!C$1:C$1048573,"Compassionate Leave",'LEAVE LOG'!G$1:G$1048573,"Approved")</f>
        <v>0</v>
      </c>
    </row>
    <row r="87" spans="1:9" x14ac:dyDescent="0.25">
      <c r="A87" t="str">
        <f>EMPLOYEES!B87</f>
        <v>Olaseni Blessing Elizabeth</v>
      </c>
      <c r="B87">
        <f>SUMIFS('LEAVE LOG'!F$1:F$1048573,'LEAVE LOG'!B$1:B$1048573,A87,'LEAVE LOG'!C$1:C$1048573,"Sick Leave",'LEAVE LOG'!G$1:G$1048573,"Approved")</f>
        <v>0</v>
      </c>
      <c r="C87">
        <f t="shared" si="2"/>
        <v>5</v>
      </c>
      <c r="D87">
        <f>SUMIFS('LEAVE LOG'!F$1:F$1048573,'LEAVE LOG'!B$1:B$1048573,A87,'LEAVE LOG'!C$1:C$1048573,"Annual Leave",'LEAVE LOG'!G$1:G$1048573,"Approved")</f>
        <v>2</v>
      </c>
      <c r="E87">
        <f t="shared" si="3"/>
        <v>8</v>
      </c>
      <c r="F87">
        <f>SUMIFS('LEAVE LOG'!F$1:F$1048573,'LEAVE LOG'!B$1:B$1048573,A87,'LEAVE LOG'!C$1:C$1048573,"Paternity Leave",'LEAVE LOG'!G$1:G$1048573,"Approved")</f>
        <v>0</v>
      </c>
      <c r="G87">
        <f>SUMIFS('LEAVE LOG'!F$1:F$1048573,'LEAVE LOG'!B$1:B$1048573,A87,'LEAVE LOG'!C$1:C$1048573,"Maternity Leave",'LEAVE LOG'!G$1:G$1048573,"Approved")</f>
        <v>0</v>
      </c>
      <c r="H87">
        <f>SUMIFS('LEAVE LOG'!F$1:F$1048573,'LEAVE LOG'!B$1:B$1048573,A87,'LEAVE LOG'!C$1:C$1048573,"Marital Leave",'LEAVE LOG'!G$1:G$1048573,"Approved")</f>
        <v>0</v>
      </c>
      <c r="I87">
        <f>SUMIFS('LEAVE LOG'!F$1:F$1048573,'LEAVE LOG'!B$1:B$1048573,A87,'LEAVE LOG'!C$1:C$1048573,"Compassionate Leave",'LEAVE LOG'!G$1:G$1048573,"Approved")</f>
        <v>0</v>
      </c>
    </row>
    <row r="88" spans="1:9" x14ac:dyDescent="0.25">
      <c r="A88" t="str">
        <f>EMPLOYEES!B88</f>
        <v>Olatunji Dorcas</v>
      </c>
      <c r="B88">
        <f>SUMIFS('LEAVE LOG'!F$1:F$1048573,'LEAVE LOG'!B$1:B$1048573,A88,'LEAVE LOG'!C$1:C$1048573,"Sick Leave",'LEAVE LOG'!G$1:G$1048573,"Approved")</f>
        <v>2</v>
      </c>
      <c r="C88">
        <f t="shared" si="2"/>
        <v>3</v>
      </c>
      <c r="D88">
        <f>SUMIFS('LEAVE LOG'!F$1:F$1048573,'LEAVE LOG'!B$1:B$1048573,A88,'LEAVE LOG'!C$1:C$1048573,"Annual Leave",'LEAVE LOG'!G$1:G$1048573,"Approved")</f>
        <v>5</v>
      </c>
      <c r="E88">
        <f t="shared" si="3"/>
        <v>5</v>
      </c>
      <c r="F88">
        <f>SUMIFS('LEAVE LOG'!F$1:F$1048573,'LEAVE LOG'!B$1:B$1048573,A88,'LEAVE LOG'!C$1:C$1048573,"Paternity Leave",'LEAVE LOG'!G$1:G$1048573,"Approved")</f>
        <v>0</v>
      </c>
      <c r="G88">
        <f>SUMIFS('LEAVE LOG'!F$1:F$1048573,'LEAVE LOG'!B$1:B$1048573,A88,'LEAVE LOG'!C$1:C$1048573,"Maternity Leave",'LEAVE LOG'!G$1:G$1048573,"Approved")</f>
        <v>0</v>
      </c>
      <c r="H88">
        <f>SUMIFS('LEAVE LOG'!F$1:F$1048573,'LEAVE LOG'!B$1:B$1048573,A88,'LEAVE LOG'!C$1:C$1048573,"Marital Leave",'LEAVE LOG'!G$1:G$1048573,"Approved")</f>
        <v>0</v>
      </c>
      <c r="I88">
        <f>SUMIFS('LEAVE LOG'!F$1:F$1048573,'LEAVE LOG'!B$1:B$1048573,A88,'LEAVE LOG'!C$1:C$1048573,"Compassionate Leave",'LEAVE LOG'!G$1:G$1048573,"Approved")</f>
        <v>0</v>
      </c>
    </row>
    <row r="89" spans="1:9" x14ac:dyDescent="0.25">
      <c r="A89" t="str">
        <f>EMPLOYEES!B89</f>
        <v>Olawoye Oluwapelumi Motunrayo</v>
      </c>
      <c r="B89">
        <f>SUMIFS('LEAVE LOG'!F$1:F$1048573,'LEAVE LOG'!B$1:B$1048573,A89,'LEAVE LOG'!C$1:C$1048573,"Sick Leave",'LEAVE LOG'!G$1:G$1048573,"Approved")</f>
        <v>0</v>
      </c>
      <c r="C89">
        <f t="shared" si="2"/>
        <v>5</v>
      </c>
      <c r="D89">
        <f>SUMIFS('LEAVE LOG'!F$1:F$1048573,'LEAVE LOG'!B$1:B$1048573,A89,'LEAVE LOG'!C$1:C$1048573,"Annual Leave",'LEAVE LOG'!G$1:G$1048573,"Approved")</f>
        <v>0</v>
      </c>
      <c r="E89">
        <f t="shared" si="3"/>
        <v>10</v>
      </c>
      <c r="F89">
        <f>SUMIFS('LEAVE LOG'!F$1:F$1048573,'LEAVE LOG'!B$1:B$1048573,A89,'LEAVE LOG'!C$1:C$1048573,"Paternity Leave",'LEAVE LOG'!G$1:G$1048573,"Approved")</f>
        <v>0</v>
      </c>
      <c r="G89">
        <f>SUMIFS('LEAVE LOG'!F$1:F$1048573,'LEAVE LOG'!B$1:B$1048573,A89,'LEAVE LOG'!C$1:C$1048573,"Maternity Leave",'LEAVE LOG'!G$1:G$1048573,"Approved")</f>
        <v>0</v>
      </c>
      <c r="H89">
        <f>SUMIFS('LEAVE LOG'!F$1:F$1048573,'LEAVE LOG'!B$1:B$1048573,A89,'LEAVE LOG'!C$1:C$1048573,"Marital Leave",'LEAVE LOG'!G$1:G$1048573,"Approved")</f>
        <v>0</v>
      </c>
      <c r="I89">
        <f>SUMIFS('LEAVE LOG'!F$1:F$1048573,'LEAVE LOG'!B$1:B$1048573,A89,'LEAVE LOG'!C$1:C$1048573,"Compassionate Leave",'LEAVE LOG'!G$1:G$1048573,"Approved")</f>
        <v>0</v>
      </c>
    </row>
    <row r="90" spans="1:9" x14ac:dyDescent="0.25">
      <c r="A90" t="str">
        <f>EMPLOYEES!B90</f>
        <v>Olufemi Oluwatosin Elizabeth</v>
      </c>
      <c r="B90">
        <f>SUMIFS('LEAVE LOG'!F$1:F$1048573,'LEAVE LOG'!B$1:B$1048573,A90,'LEAVE LOG'!C$1:C$1048573,"Sick Leave",'LEAVE LOG'!G$1:G$1048573,"Approved")</f>
        <v>5</v>
      </c>
      <c r="C90">
        <f t="shared" si="2"/>
        <v>0</v>
      </c>
      <c r="D90">
        <f>SUMIFS('LEAVE LOG'!F$1:F$1048573,'LEAVE LOG'!B$1:B$1048573,A90,'LEAVE LOG'!C$1:C$1048573,"Annual Leave",'LEAVE LOG'!G$1:G$1048573,"Approved")</f>
        <v>0</v>
      </c>
      <c r="E90">
        <f t="shared" si="3"/>
        <v>10</v>
      </c>
      <c r="F90">
        <f>SUMIFS('LEAVE LOG'!F$1:F$1048573,'LEAVE LOG'!B$1:B$1048573,A90,'LEAVE LOG'!C$1:C$1048573,"Paternity Leave",'LEAVE LOG'!G$1:G$1048573,"Approved")</f>
        <v>0</v>
      </c>
      <c r="G90">
        <f>SUMIFS('LEAVE LOG'!F$1:F$1048573,'LEAVE LOG'!B$1:B$1048573,A90,'LEAVE LOG'!C$1:C$1048573,"Maternity Leave",'LEAVE LOG'!G$1:G$1048573,"Approved")</f>
        <v>0</v>
      </c>
      <c r="H90">
        <f>SUMIFS('LEAVE LOG'!F$1:F$1048573,'LEAVE LOG'!B$1:B$1048573,A90,'LEAVE LOG'!C$1:C$1048573,"Marital Leave",'LEAVE LOG'!G$1:G$1048573,"Approved")</f>
        <v>0</v>
      </c>
      <c r="I90">
        <f>SUMIFS('LEAVE LOG'!F$1:F$1048573,'LEAVE LOG'!B$1:B$1048573,A90,'LEAVE LOG'!C$1:C$1048573,"Compassionate Leave",'LEAVE LOG'!G$1:G$1048573,"Approved")</f>
        <v>0</v>
      </c>
    </row>
    <row r="91" spans="1:9" x14ac:dyDescent="0.25">
      <c r="A91" t="str">
        <f>EMPLOYEES!B91</f>
        <v>Olurinola Asipita Mary</v>
      </c>
      <c r="B91">
        <f>SUMIFS('LEAVE LOG'!F$1:F$1048573,'LEAVE LOG'!B$1:B$1048573,A91,'LEAVE LOG'!C$1:C$1048573,"Sick Leave",'LEAVE LOG'!G$1:G$1048573,"Approved")</f>
        <v>0</v>
      </c>
      <c r="C91">
        <f t="shared" si="2"/>
        <v>5</v>
      </c>
      <c r="D91">
        <f>SUMIFS('LEAVE LOG'!F$1:F$1048573,'LEAVE LOG'!B$1:B$1048573,A91,'LEAVE LOG'!C$1:C$1048573,"Annual Leave",'LEAVE LOG'!G$1:G$1048573,"Approved")</f>
        <v>0</v>
      </c>
      <c r="E91">
        <f t="shared" si="3"/>
        <v>10</v>
      </c>
      <c r="F91">
        <f>SUMIFS('LEAVE LOG'!F$1:F$1048573,'LEAVE LOG'!B$1:B$1048573,A91,'LEAVE LOG'!C$1:C$1048573,"Paternity Leave",'LEAVE LOG'!G$1:G$1048573,"Approved")</f>
        <v>0</v>
      </c>
      <c r="G91">
        <f>SUMIFS('LEAVE LOG'!F$1:F$1048573,'LEAVE LOG'!B$1:B$1048573,A91,'LEAVE LOG'!C$1:C$1048573,"Maternity Leave",'LEAVE LOG'!G$1:G$1048573,"Approved")</f>
        <v>0</v>
      </c>
      <c r="H91">
        <f>SUMIFS('LEAVE LOG'!F$1:F$1048573,'LEAVE LOG'!B$1:B$1048573,A91,'LEAVE LOG'!C$1:C$1048573,"Marital Leave",'LEAVE LOG'!G$1:G$1048573,"Approved")</f>
        <v>0</v>
      </c>
      <c r="I91">
        <f>SUMIFS('LEAVE LOG'!F$1:F$1048573,'LEAVE LOG'!B$1:B$1048573,A91,'LEAVE LOG'!C$1:C$1048573,"Compassionate Leave",'LEAVE LOG'!G$1:G$1048573,"Approved")</f>
        <v>0</v>
      </c>
    </row>
    <row r="92" spans="1:9" x14ac:dyDescent="0.25">
      <c r="A92" t="str">
        <f>EMPLOYEES!B92</f>
        <v>Oluwatobi Samuel Kolawole</v>
      </c>
      <c r="B92">
        <f>SUMIFS('LEAVE LOG'!F$1:F$1048573,'LEAVE LOG'!B$1:B$1048573,A92,'LEAVE LOG'!C$1:C$1048573,"Sick Leave",'LEAVE LOG'!G$1:G$1048573,"Approved")</f>
        <v>1</v>
      </c>
      <c r="C92">
        <f t="shared" si="2"/>
        <v>4</v>
      </c>
      <c r="D92">
        <f>SUMIFS('LEAVE LOG'!F$1:F$1048573,'LEAVE LOG'!B$1:B$1048573,A92,'LEAVE LOG'!C$1:C$1048573,"Annual Leave",'LEAVE LOG'!G$1:G$1048573,"Approved")</f>
        <v>3</v>
      </c>
      <c r="E92">
        <f t="shared" si="3"/>
        <v>7</v>
      </c>
      <c r="F92">
        <f>SUMIFS('LEAVE LOG'!F$1:F$1048573,'LEAVE LOG'!B$1:B$1048573,A92,'LEAVE LOG'!C$1:C$1048573,"Paternity Leave",'LEAVE LOG'!G$1:G$1048573,"Approved")</f>
        <v>0</v>
      </c>
      <c r="G92">
        <f>SUMIFS('LEAVE LOG'!F$1:F$1048573,'LEAVE LOG'!B$1:B$1048573,A92,'LEAVE LOG'!C$1:C$1048573,"Maternity Leave",'LEAVE LOG'!G$1:G$1048573,"Approved")</f>
        <v>0</v>
      </c>
      <c r="H92">
        <f>SUMIFS('LEAVE LOG'!F$1:F$1048573,'LEAVE LOG'!B$1:B$1048573,A92,'LEAVE LOG'!C$1:C$1048573,"Marital Leave",'LEAVE LOG'!G$1:G$1048573,"Approved")</f>
        <v>21</v>
      </c>
      <c r="I92">
        <f>SUMIFS('LEAVE LOG'!F$1:F$1048573,'LEAVE LOG'!B$1:B$1048573,A92,'LEAVE LOG'!C$1:C$1048573,"Compassionate Leave",'LEAVE LOG'!G$1:G$1048573,"Approved")</f>
        <v>0</v>
      </c>
    </row>
    <row r="93" spans="1:9" x14ac:dyDescent="0.25">
      <c r="A93" t="str">
        <f>EMPLOYEES!B93</f>
        <v>Oluyinka Janet Oyinloye</v>
      </c>
      <c r="B93">
        <f>SUMIFS('LEAVE LOG'!F$1:F$1048573,'LEAVE LOG'!B$1:B$1048573,A93,'LEAVE LOG'!C$1:C$1048573,"Sick Leave",'LEAVE LOG'!G$1:G$1048573,"Approved")</f>
        <v>0</v>
      </c>
      <c r="C93">
        <f t="shared" si="2"/>
        <v>5</v>
      </c>
      <c r="D93">
        <f>SUMIFS('LEAVE LOG'!F$1:F$1048573,'LEAVE LOG'!B$1:B$1048573,A93,'LEAVE LOG'!C$1:C$1048573,"Annual Leave",'LEAVE LOG'!G$1:G$1048573,"Approved")</f>
        <v>0</v>
      </c>
      <c r="E93">
        <f t="shared" si="3"/>
        <v>10</v>
      </c>
      <c r="F93">
        <f>SUMIFS('LEAVE LOG'!F$1:F$1048573,'LEAVE LOG'!B$1:B$1048573,A93,'LEAVE LOG'!C$1:C$1048573,"Paternity Leave",'LEAVE LOG'!G$1:G$1048573,"Approved")</f>
        <v>0</v>
      </c>
      <c r="G93">
        <f>SUMIFS('LEAVE LOG'!F$1:F$1048573,'LEAVE LOG'!B$1:B$1048573,A93,'LEAVE LOG'!C$1:C$1048573,"Maternity Leave",'LEAVE LOG'!G$1:G$1048573,"Approved")</f>
        <v>0</v>
      </c>
      <c r="H93">
        <f>SUMIFS('LEAVE LOG'!F$1:F$1048573,'LEAVE LOG'!B$1:B$1048573,A93,'LEAVE LOG'!C$1:C$1048573,"Marital Leave",'LEAVE LOG'!G$1:G$1048573,"Approved")</f>
        <v>0</v>
      </c>
      <c r="I93">
        <f>SUMIFS('LEAVE LOG'!F$1:F$1048573,'LEAVE LOG'!B$1:B$1048573,A93,'LEAVE LOG'!C$1:C$1048573,"Compassionate Leave",'LEAVE LOG'!G$1:G$1048573,"Approved")</f>
        <v>0</v>
      </c>
    </row>
    <row r="94" spans="1:9" x14ac:dyDescent="0.25">
      <c r="A94" t="str">
        <f>EMPLOYEES!B94</f>
        <v>Opaleye Gloria Abisola</v>
      </c>
      <c r="B94">
        <f>SUMIFS('LEAVE LOG'!F$1:F$1048573,'LEAVE LOG'!B$1:B$1048573,A94,'LEAVE LOG'!C$1:C$1048573,"Sick Leave",'LEAVE LOG'!G$1:G$1048573,"Approved")</f>
        <v>0</v>
      </c>
      <c r="C94">
        <f t="shared" si="2"/>
        <v>5</v>
      </c>
      <c r="D94">
        <f>SUMIFS('LEAVE LOG'!F$1:F$1048573,'LEAVE LOG'!B$1:B$1048573,A94,'LEAVE LOG'!C$1:C$1048573,"Annual Leave",'LEAVE LOG'!G$1:G$1048573,"Approved")</f>
        <v>0</v>
      </c>
      <c r="E94">
        <f t="shared" si="3"/>
        <v>10</v>
      </c>
      <c r="F94">
        <f>SUMIFS('LEAVE LOG'!F$1:F$1048573,'LEAVE LOG'!B$1:B$1048573,A94,'LEAVE LOG'!C$1:C$1048573,"Paternity Leave",'LEAVE LOG'!G$1:G$1048573,"Approved")</f>
        <v>0</v>
      </c>
      <c r="G94">
        <f>SUMIFS('LEAVE LOG'!F$1:F$1048573,'LEAVE LOG'!B$1:B$1048573,A94,'LEAVE LOG'!C$1:C$1048573,"Maternity Leave",'LEAVE LOG'!G$1:G$1048573,"Approved")</f>
        <v>0</v>
      </c>
      <c r="H94">
        <f>SUMIFS('LEAVE LOG'!F$1:F$1048573,'LEAVE LOG'!B$1:B$1048573,A94,'LEAVE LOG'!C$1:C$1048573,"Marital Leave",'LEAVE LOG'!G$1:G$1048573,"Approved")</f>
        <v>0</v>
      </c>
      <c r="I94">
        <f>SUMIFS('LEAVE LOG'!F$1:F$1048573,'LEAVE LOG'!B$1:B$1048573,A94,'LEAVE LOG'!C$1:C$1048573,"Compassionate Leave",'LEAVE LOG'!G$1:G$1048573,"Approved")</f>
        <v>0</v>
      </c>
    </row>
    <row r="95" spans="1:9" x14ac:dyDescent="0.25">
      <c r="A95" t="str">
        <f>EMPLOYEES!B95</f>
        <v>Ori Ogugua Nwoshibe</v>
      </c>
      <c r="B95">
        <f>SUMIFS('LEAVE LOG'!F$1:F$1048573,'LEAVE LOG'!B$1:B$1048573,A95,'LEAVE LOG'!C$1:C$1048573,"Sick Leave",'LEAVE LOG'!G$1:G$1048573,"Approved")</f>
        <v>0</v>
      </c>
      <c r="C95">
        <f t="shared" si="2"/>
        <v>5</v>
      </c>
      <c r="D95">
        <f>SUMIFS('LEAVE LOG'!F$1:F$1048573,'LEAVE LOG'!B$1:B$1048573,A95,'LEAVE LOG'!C$1:C$1048573,"Annual Leave",'LEAVE LOG'!G$1:G$1048573,"Approved")</f>
        <v>0</v>
      </c>
      <c r="E95">
        <f t="shared" si="3"/>
        <v>10</v>
      </c>
      <c r="F95">
        <f>SUMIFS('LEAVE LOG'!F$1:F$1048573,'LEAVE LOG'!B$1:B$1048573,A95,'LEAVE LOG'!C$1:C$1048573,"Paternity Leave",'LEAVE LOG'!G$1:G$1048573,"Approved")</f>
        <v>0</v>
      </c>
      <c r="G95">
        <f>SUMIFS('LEAVE LOG'!F$1:F$1048573,'LEAVE LOG'!B$1:B$1048573,A95,'LEAVE LOG'!C$1:C$1048573,"Maternity Leave",'LEAVE LOG'!G$1:G$1048573,"Approved")</f>
        <v>0</v>
      </c>
      <c r="H95">
        <f>SUMIFS('LEAVE LOG'!F$1:F$1048573,'LEAVE LOG'!B$1:B$1048573,A95,'LEAVE LOG'!C$1:C$1048573,"Marital Leave",'LEAVE LOG'!G$1:G$1048573,"Approved")</f>
        <v>0</v>
      </c>
      <c r="I95">
        <f>SUMIFS('LEAVE LOG'!F$1:F$1048573,'LEAVE LOG'!B$1:B$1048573,A95,'LEAVE LOG'!C$1:C$1048573,"Compassionate Leave",'LEAVE LOG'!G$1:G$1048573,"Approved")</f>
        <v>0</v>
      </c>
    </row>
    <row r="96" spans="1:9" x14ac:dyDescent="0.25">
      <c r="A96" t="str">
        <f>EMPLOYEES!B96</f>
        <v>Otokiti Odunayo Babatunde</v>
      </c>
      <c r="B96">
        <f>SUMIFS('LEAVE LOG'!F$1:F$1048573,'LEAVE LOG'!B$1:B$1048573,A96,'LEAVE LOG'!C$1:C$1048573,"Sick Leave",'LEAVE LOG'!G$1:G$1048573,"Approved")</f>
        <v>0</v>
      </c>
      <c r="C96">
        <f t="shared" si="2"/>
        <v>5</v>
      </c>
      <c r="D96">
        <f>SUMIFS('LEAVE LOG'!F$1:F$1048573,'LEAVE LOG'!B$1:B$1048573,A96,'LEAVE LOG'!C$1:C$1048573,"Annual Leave",'LEAVE LOG'!G$1:G$1048573,"Approved")</f>
        <v>0</v>
      </c>
      <c r="E96">
        <f t="shared" si="3"/>
        <v>10</v>
      </c>
      <c r="F96">
        <f>SUMIFS('LEAVE LOG'!F$1:F$1048573,'LEAVE LOG'!B$1:B$1048573,A96,'LEAVE LOG'!C$1:C$1048573,"Paternity Leave",'LEAVE LOG'!G$1:G$1048573,"Approved")</f>
        <v>0</v>
      </c>
      <c r="G96">
        <f>SUMIFS('LEAVE LOG'!F$1:F$1048573,'LEAVE LOG'!B$1:B$1048573,A96,'LEAVE LOG'!C$1:C$1048573,"Maternity Leave",'LEAVE LOG'!G$1:G$1048573,"Approved")</f>
        <v>0</v>
      </c>
      <c r="H96">
        <f>SUMIFS('LEAVE LOG'!F$1:F$1048573,'LEAVE LOG'!B$1:B$1048573,A96,'LEAVE LOG'!C$1:C$1048573,"Marital Leave",'LEAVE LOG'!G$1:G$1048573,"Approved")</f>
        <v>0</v>
      </c>
      <c r="I96">
        <f>SUMIFS('LEAVE LOG'!F$1:F$1048573,'LEAVE LOG'!B$1:B$1048573,A96,'LEAVE LOG'!C$1:C$1048573,"Compassionate Leave",'LEAVE LOG'!G$1:G$1048573,"Approved")</f>
        <v>0</v>
      </c>
    </row>
    <row r="97" spans="1:9" x14ac:dyDescent="0.25">
      <c r="A97" t="str">
        <f>EMPLOYEES!B97</f>
        <v>Oyedepo Precious Fishope</v>
      </c>
      <c r="B97">
        <f>SUMIFS('LEAVE LOG'!F$1:F$1048573,'LEAVE LOG'!B$1:B$1048573,A97,'LEAVE LOG'!C$1:C$1048573,"Sick Leave",'LEAVE LOG'!G$1:G$1048573,"Approved")</f>
        <v>0</v>
      </c>
      <c r="C97">
        <f t="shared" si="2"/>
        <v>5</v>
      </c>
      <c r="D97">
        <f>SUMIFS('LEAVE LOG'!F$1:F$1048573,'LEAVE LOG'!B$1:B$1048573,A97,'LEAVE LOG'!C$1:C$1048573,"Annual Leave",'LEAVE LOG'!G$1:G$1048573,"Approved")</f>
        <v>0</v>
      </c>
      <c r="E97">
        <f t="shared" si="3"/>
        <v>10</v>
      </c>
      <c r="F97">
        <f>SUMIFS('LEAVE LOG'!F$1:F$1048573,'LEAVE LOG'!B$1:B$1048573,A97,'LEAVE LOG'!C$1:C$1048573,"Paternity Leave",'LEAVE LOG'!G$1:G$1048573,"Approved")</f>
        <v>0</v>
      </c>
      <c r="G97">
        <f>SUMIFS('LEAVE LOG'!F$1:F$1048573,'LEAVE LOG'!B$1:B$1048573,A97,'LEAVE LOG'!C$1:C$1048573,"Maternity Leave",'LEAVE LOG'!G$1:G$1048573,"Approved")</f>
        <v>0</v>
      </c>
      <c r="H97">
        <f>SUMIFS('LEAVE LOG'!F$1:F$1048573,'LEAVE LOG'!B$1:B$1048573,A97,'LEAVE LOG'!C$1:C$1048573,"Marital Leave",'LEAVE LOG'!G$1:G$1048573,"Approved")</f>
        <v>0</v>
      </c>
      <c r="I97">
        <f>SUMIFS('LEAVE LOG'!F$1:F$1048573,'LEAVE LOG'!B$1:B$1048573,A97,'LEAVE LOG'!C$1:C$1048573,"Compassionate Leave",'LEAVE LOG'!G$1:G$1048573,"Approved")</f>
        <v>0</v>
      </c>
    </row>
    <row r="98" spans="1:9" x14ac:dyDescent="0.25">
      <c r="A98" t="str">
        <f>EMPLOYEES!B98</f>
        <v>Oyewumi tosin yinka</v>
      </c>
      <c r="B98">
        <f>SUMIFS('LEAVE LOG'!F$1:F$1048573,'LEAVE LOG'!B$1:B$1048573,A98,'LEAVE LOG'!C$1:C$1048573,"Sick Leave",'LEAVE LOG'!G$1:G$1048573,"Approved")</f>
        <v>0</v>
      </c>
      <c r="C98">
        <f t="shared" si="2"/>
        <v>5</v>
      </c>
      <c r="D98">
        <f>SUMIFS('LEAVE LOG'!F$1:F$1048573,'LEAVE LOG'!B$1:B$1048573,A98,'LEAVE LOG'!C$1:C$1048573,"Annual Leave",'LEAVE LOG'!G$1:G$1048573,"Approved")</f>
        <v>0</v>
      </c>
      <c r="E98">
        <f t="shared" si="3"/>
        <v>10</v>
      </c>
      <c r="F98">
        <f>SUMIFS('LEAVE LOG'!F$1:F$1048573,'LEAVE LOG'!B$1:B$1048573,A98,'LEAVE LOG'!C$1:C$1048573,"Paternity Leave",'LEAVE LOG'!G$1:G$1048573,"Approved")</f>
        <v>0</v>
      </c>
      <c r="G98">
        <f>SUMIFS('LEAVE LOG'!F$1:F$1048573,'LEAVE LOG'!B$1:B$1048573,A98,'LEAVE LOG'!C$1:C$1048573,"Maternity Leave",'LEAVE LOG'!G$1:G$1048573,"Approved")</f>
        <v>0</v>
      </c>
      <c r="H98">
        <f>SUMIFS('LEAVE LOG'!F$1:F$1048573,'LEAVE LOG'!B$1:B$1048573,A98,'LEAVE LOG'!C$1:C$1048573,"Marital Leave",'LEAVE LOG'!G$1:G$1048573,"Approved")</f>
        <v>0</v>
      </c>
      <c r="I98">
        <f>SUMIFS('LEAVE LOG'!F$1:F$1048573,'LEAVE LOG'!B$1:B$1048573,A98,'LEAVE LOG'!C$1:C$1048573,"Compassionate Leave",'LEAVE LOG'!G$1:G$1048573,"Approved")</f>
        <v>0</v>
      </c>
    </row>
    <row r="99" spans="1:9" x14ac:dyDescent="0.25">
      <c r="A99" t="str">
        <f>EMPLOYEES!B99</f>
        <v>Samson Olawale Oluwafemi</v>
      </c>
      <c r="B99">
        <f>SUMIFS('LEAVE LOG'!F$1:F$1048573,'LEAVE LOG'!B$1:B$1048573,A99,'LEAVE LOG'!C$1:C$1048573,"Sick Leave",'LEAVE LOG'!G$1:G$1048573,"Approved")</f>
        <v>0</v>
      </c>
      <c r="C99">
        <f t="shared" si="2"/>
        <v>5</v>
      </c>
      <c r="D99">
        <f>SUMIFS('LEAVE LOG'!F$1:F$1048573,'LEAVE LOG'!B$1:B$1048573,A99,'LEAVE LOG'!C$1:C$1048573,"Annual Leave",'LEAVE LOG'!G$1:G$1048573,"Approved")</f>
        <v>0</v>
      </c>
      <c r="E99">
        <f t="shared" si="3"/>
        <v>10</v>
      </c>
      <c r="F99">
        <f>SUMIFS('LEAVE LOG'!F$1:F$1048573,'LEAVE LOG'!B$1:B$1048573,A99,'LEAVE LOG'!C$1:C$1048573,"Paternity Leave",'LEAVE LOG'!G$1:G$1048573,"Approved")</f>
        <v>0</v>
      </c>
      <c r="G99">
        <f>SUMIFS('LEAVE LOG'!F$1:F$1048573,'LEAVE LOG'!B$1:B$1048573,A99,'LEAVE LOG'!C$1:C$1048573,"Maternity Leave",'LEAVE LOG'!G$1:G$1048573,"Approved")</f>
        <v>0</v>
      </c>
      <c r="H99">
        <f>SUMIFS('LEAVE LOG'!F$1:F$1048573,'LEAVE LOG'!B$1:B$1048573,A99,'LEAVE LOG'!C$1:C$1048573,"Marital Leave",'LEAVE LOG'!G$1:G$1048573,"Approved")</f>
        <v>0</v>
      </c>
      <c r="I99">
        <f>SUMIFS('LEAVE LOG'!F$1:F$1048573,'LEAVE LOG'!B$1:B$1048573,A99,'LEAVE LOG'!C$1:C$1048573,"Compassionate Leave",'LEAVE LOG'!G$1:G$1048573,"Approved")</f>
        <v>0</v>
      </c>
    </row>
    <row r="100" spans="1:9" x14ac:dyDescent="0.25">
      <c r="A100" t="str">
        <f>EMPLOYEES!B100</f>
        <v>Sheu zainab arinola</v>
      </c>
      <c r="B100">
        <f>SUMIFS('LEAVE LOG'!F$1:F$1048573,'LEAVE LOG'!B$1:B$1048573,A100,'LEAVE LOG'!C$1:C$1048573,"Sick Leave",'LEAVE LOG'!G$1:G$1048573,"Approved")</f>
        <v>0</v>
      </c>
      <c r="C100">
        <f t="shared" si="2"/>
        <v>5</v>
      </c>
      <c r="D100">
        <f>SUMIFS('LEAVE LOG'!F$1:F$1048573,'LEAVE LOG'!B$1:B$1048573,A100,'LEAVE LOG'!C$1:C$1048573,"Annual Leave",'LEAVE LOG'!G$1:G$1048573,"Approved")</f>
        <v>0</v>
      </c>
      <c r="E100">
        <f t="shared" si="3"/>
        <v>10</v>
      </c>
      <c r="F100">
        <f>SUMIFS('LEAVE LOG'!F$1:F$1048573,'LEAVE LOG'!B$1:B$1048573,A100,'LEAVE LOG'!C$1:C$1048573,"Paternity Leave",'LEAVE LOG'!G$1:G$1048573,"Approved")</f>
        <v>0</v>
      </c>
      <c r="G100">
        <f>SUMIFS('LEAVE LOG'!F$1:F$1048573,'LEAVE LOG'!B$1:B$1048573,A100,'LEAVE LOG'!C$1:C$1048573,"Maternity Leave",'LEAVE LOG'!G$1:G$1048573,"Approved")</f>
        <v>0</v>
      </c>
      <c r="H100">
        <f>SUMIFS('LEAVE LOG'!F$1:F$1048573,'LEAVE LOG'!B$1:B$1048573,A100,'LEAVE LOG'!C$1:C$1048573,"Marital Leave",'LEAVE LOG'!G$1:G$1048573,"Approved")</f>
        <v>0</v>
      </c>
      <c r="I100">
        <f>SUMIFS('LEAVE LOG'!F$1:F$1048573,'LEAVE LOG'!B$1:B$1048573,A100,'LEAVE LOG'!C$1:C$1048573,"Compassionate Leave",'LEAVE LOG'!G$1:G$1048573,"Approved")</f>
        <v>0</v>
      </c>
    </row>
    <row r="101" spans="1:9" x14ac:dyDescent="0.25">
      <c r="A101" t="str">
        <f>EMPLOYEES!B101</f>
        <v>Sulyman Muftau Aremu</v>
      </c>
      <c r="B101">
        <f>SUMIFS('LEAVE LOG'!F$1:F$1048573,'LEAVE LOG'!B$1:B$1048573,A101,'LEAVE LOG'!C$1:C$1048573,"Sick Leave",'LEAVE LOG'!G$1:G$1048573,"Approved")</f>
        <v>2</v>
      </c>
      <c r="C101">
        <f t="shared" si="2"/>
        <v>3</v>
      </c>
      <c r="D101">
        <f>SUMIFS('LEAVE LOG'!F$1:F$1048573,'LEAVE LOG'!B$1:B$1048573,A101,'LEAVE LOG'!C$1:C$1048573,"Annual Leave",'LEAVE LOG'!G$1:G$1048573,"Approved")</f>
        <v>2</v>
      </c>
      <c r="E101">
        <f t="shared" si="3"/>
        <v>8</v>
      </c>
      <c r="F101">
        <f>SUMIFS('LEAVE LOG'!F$1:F$1048573,'LEAVE LOG'!B$1:B$1048573,A101,'LEAVE LOG'!C$1:C$1048573,"Paternity Leave",'LEAVE LOG'!G$1:G$1048573,"Approved")</f>
        <v>0</v>
      </c>
      <c r="G101">
        <f>SUMIFS('LEAVE LOG'!F$1:F$1048573,'LEAVE LOG'!B$1:B$1048573,A101,'LEAVE LOG'!C$1:C$1048573,"Maternity Leave",'LEAVE LOG'!G$1:G$1048573,"Approved")</f>
        <v>0</v>
      </c>
      <c r="H101">
        <f>SUMIFS('LEAVE LOG'!F$1:F$1048573,'LEAVE LOG'!B$1:B$1048573,A101,'LEAVE LOG'!C$1:C$1048573,"Marital Leave",'LEAVE LOG'!G$1:G$1048573,"Approved")</f>
        <v>0</v>
      </c>
      <c r="I101">
        <f>SUMIFS('LEAVE LOG'!F$1:F$1048573,'LEAVE LOG'!B$1:B$1048573,A101,'LEAVE LOG'!C$1:C$1048573,"Compassionate Leave",'LEAVE LOG'!G$1:G$1048573,"Approved")</f>
        <v>0</v>
      </c>
    </row>
    <row r="102" spans="1:9" x14ac:dyDescent="0.25">
      <c r="A102" t="str">
        <f>EMPLOYEES!B102</f>
        <v>Azeezat Adebayo Oluwabukola</v>
      </c>
      <c r="B102">
        <f>SUMIFS('LEAVE LOG'!F$1:F$1048573,'LEAVE LOG'!B$1:B$1048573,A102,'LEAVE LOG'!C$1:C$1048573,"Sick Leave",'LEAVE LOG'!G$1:G$1048573,"Approved")</f>
        <v>5</v>
      </c>
      <c r="C102">
        <f t="shared" si="2"/>
        <v>0</v>
      </c>
      <c r="D102">
        <f>SUMIFS('LEAVE LOG'!F$1:F$1048573,'LEAVE LOG'!B$1:B$1048573,A102,'LEAVE LOG'!C$1:C$1048573,"Annual Leave",'LEAVE LOG'!G$1:G$1048573,"Approved")</f>
        <v>10</v>
      </c>
      <c r="E102">
        <f t="shared" si="3"/>
        <v>0</v>
      </c>
      <c r="F102">
        <f>SUMIFS('LEAVE LOG'!F$1:F$1048573,'LEAVE LOG'!B$1:B$1048573,A102,'LEAVE LOG'!C$1:C$1048573,"Paternity Leave",'LEAVE LOG'!G$1:G$1048573,"Approved")</f>
        <v>0</v>
      </c>
      <c r="G102">
        <f>SUMIFS('LEAVE LOG'!F$1:F$1048573,'LEAVE LOG'!B$1:B$1048573,A102,'LEAVE LOG'!C$1:C$1048573,"Maternity Leave",'LEAVE LOG'!G$1:G$1048573,"Approved")</f>
        <v>0</v>
      </c>
      <c r="H102">
        <f>SUMIFS('LEAVE LOG'!F$1:F$1048573,'LEAVE LOG'!B$1:B$1048573,A102,'LEAVE LOG'!C$1:C$1048573,"Marital Leave",'LEAVE LOG'!G$1:G$1048573,"Approved")</f>
        <v>0</v>
      </c>
      <c r="I102">
        <f>SUMIFS('LEAVE LOG'!F$1:F$1048573,'LEAVE LOG'!B$1:B$1048573,A102,'LEAVE LOG'!C$1:C$1048573,"Compassionate Leave",'LEAVE LOG'!G$1:G$1048573,"Approved")</f>
        <v>0</v>
      </c>
    </row>
    <row r="103" spans="1:9" x14ac:dyDescent="0.25">
      <c r="A103" t="str">
        <f>EMPLOYEES!B103</f>
        <v>Mustapha Yusuf Oloyin</v>
      </c>
      <c r="B103">
        <f>SUMIFS('LEAVE LOG'!F$1:F$1048573,'LEAVE LOG'!B$1:B$1048573,A103,'LEAVE LOG'!C$1:C$1048573,"Sick Leave",'LEAVE LOG'!G$1:G$1048573,"Approved")</f>
        <v>0</v>
      </c>
      <c r="C103">
        <f t="shared" si="2"/>
        <v>5</v>
      </c>
      <c r="D103">
        <f>SUMIFS('LEAVE LOG'!F$1:F$1048573,'LEAVE LOG'!B$1:B$1048573,A103,'LEAVE LOG'!C$1:C$1048573,"Annual Leave",'LEAVE LOG'!G$1:G$1048573,"Approved")</f>
        <v>0</v>
      </c>
      <c r="E103">
        <f t="shared" si="3"/>
        <v>10</v>
      </c>
      <c r="F103">
        <f>SUMIFS('LEAVE LOG'!F$1:F$1048573,'LEAVE LOG'!B$1:B$1048573,A103,'LEAVE LOG'!C$1:C$1048573,"Paternity Leave",'LEAVE LOG'!G$1:G$1048573,"Approved")</f>
        <v>0</v>
      </c>
      <c r="G103">
        <f>SUMIFS('LEAVE LOG'!F$1:F$1048573,'LEAVE LOG'!B$1:B$1048573,A103,'LEAVE LOG'!C$1:C$1048573,"Maternity Leave",'LEAVE LOG'!G$1:G$1048573,"Approved")</f>
        <v>0</v>
      </c>
      <c r="H103">
        <f>SUMIFS('LEAVE LOG'!F$1:F$1048573,'LEAVE LOG'!B$1:B$1048573,A103,'LEAVE LOG'!C$1:C$1048573,"Marital Leave",'LEAVE LOG'!G$1:G$1048573,"Approved")</f>
        <v>0</v>
      </c>
      <c r="I103">
        <f>SUMIFS('LEAVE LOG'!F$1:F$1048573,'LEAVE LOG'!B$1:B$1048573,A103,'LEAVE LOG'!C$1:C$1048573,"Compassionate Leave",'LEAVE LOG'!G$1:G$1048573,"Approved")</f>
        <v>0</v>
      </c>
    </row>
    <row r="104" spans="1:9" x14ac:dyDescent="0.25">
      <c r="A104" t="str">
        <f>EMPLOYEES!B104</f>
        <v>Kudirat Brown-Birena</v>
      </c>
      <c r="B104">
        <f>SUMIFS('LEAVE LOG'!F$1:F$1048573,'LEAVE LOG'!B$1:B$1048573,A104,'LEAVE LOG'!C$1:C$1048573,"Sick Leave",'LEAVE LOG'!G$1:G$1048573,"Approved")</f>
        <v>0</v>
      </c>
      <c r="C104">
        <f t="shared" si="2"/>
        <v>5</v>
      </c>
      <c r="D104">
        <f>SUMIFS('LEAVE LOG'!F$1:F$1048573,'LEAVE LOG'!B$1:B$1048573,A104,'LEAVE LOG'!C$1:C$1048573,"Annual Leave",'LEAVE LOG'!G$1:G$1048573,"Approved")</f>
        <v>0</v>
      </c>
      <c r="E104">
        <f t="shared" si="3"/>
        <v>10</v>
      </c>
      <c r="F104">
        <f>SUMIFS('LEAVE LOG'!F$1:F$1048573,'LEAVE LOG'!B$1:B$1048573,A104,'LEAVE LOG'!C$1:C$1048573,"Paternity Leave",'LEAVE LOG'!G$1:G$1048573,"Approved")</f>
        <v>0</v>
      </c>
      <c r="G104">
        <f>SUMIFS('LEAVE LOG'!F$1:F$1048573,'LEAVE LOG'!B$1:B$1048573,A104,'LEAVE LOG'!C$1:C$1048573,"Maternity Leave",'LEAVE LOG'!G$1:G$1048573,"Approved")</f>
        <v>0</v>
      </c>
      <c r="H104">
        <f>SUMIFS('LEAVE LOG'!F$1:F$1048573,'LEAVE LOG'!B$1:B$1048573,A104,'LEAVE LOG'!C$1:C$1048573,"Marital Leave",'LEAVE LOG'!G$1:G$1048573,"Approved")</f>
        <v>0</v>
      </c>
      <c r="I104">
        <f>SUMIFS('LEAVE LOG'!F$1:F$1048573,'LEAVE LOG'!B$1:B$1048573,A104,'LEAVE LOG'!C$1:C$1048573,"Compassionate Leave",'LEAVE LOG'!G$1:G$1048573,"Approved")</f>
        <v>0</v>
      </c>
    </row>
    <row r="105" spans="1:9" x14ac:dyDescent="0.25">
      <c r="B105">
        <f>SUMIFS('LEAVE LOG'!F$1:F$1048573,'LEAVE LOG'!B$1:B$1048573,A105,'LEAVE LOG'!C$1:C$1048573,"Sick Leave",'LEAVE LOG'!G$1:G$1048573,"Approved")</f>
        <v>0</v>
      </c>
      <c r="C105">
        <f t="shared" si="2"/>
        <v>5</v>
      </c>
      <c r="D105">
        <f>SUMIFS('LEAVE LOG'!F$1:F$1048573,'LEAVE LOG'!B$1:B$1048573,A105,'LEAVE LOG'!C$1:C$1048573,"Annual Leave",'LEAVE LOG'!G$1:G$1048573,"Approved")</f>
        <v>0</v>
      </c>
      <c r="E105">
        <f t="shared" si="3"/>
        <v>10</v>
      </c>
      <c r="F105">
        <f>SUMIFS('LEAVE LOG'!F$1:F$1048573,'LEAVE LOG'!B$1:B$1048573,A105,'LEAVE LOG'!C$1:C$1048573,"Paternity Leave",'LEAVE LOG'!G$1:G$1048573,"Approved")</f>
        <v>0</v>
      </c>
      <c r="G105">
        <f>SUMIFS('LEAVE LOG'!F$1:F$1048573,'LEAVE LOG'!B$1:B$1048573,A105,'LEAVE LOG'!C$1:C$1048573,"Maternity Leave",'LEAVE LOG'!G$1:G$1048573,"Approved")</f>
        <v>0</v>
      </c>
      <c r="H105">
        <f>SUMIFS('LEAVE LOG'!F$1:F$1048573,'LEAVE LOG'!B$1:B$1048573,A105,'LEAVE LOG'!C$1:C$1048573,"Marital Leave",'LEAVE LOG'!G$1:G$1048573,"Approved")</f>
        <v>0</v>
      </c>
      <c r="I105">
        <f>SUMIFS('LEAVE LOG'!F$1:F$1048573,'LEAVE LOG'!B$1:B$1048573,A105,'LEAVE LOG'!C$1:C$1048573,"Compassionate Leave",'LEAVE LOG'!G$1:G$1048573,"Approved")</f>
        <v>0</v>
      </c>
    </row>
    <row r="106" spans="1:9" x14ac:dyDescent="0.25">
      <c r="B106">
        <f>SUMIFS('LEAVE LOG'!F$1:F$1048573,'LEAVE LOG'!B$1:B$1048573,A106,'LEAVE LOG'!C$1:C$1048573,"Sick Leave",'LEAVE LOG'!G$1:G$1048573,"Approved")</f>
        <v>0</v>
      </c>
      <c r="C106">
        <f t="shared" si="2"/>
        <v>5</v>
      </c>
      <c r="D106">
        <f>SUMIFS('LEAVE LOG'!F$1:F$1048573,'LEAVE LOG'!B$1:B$1048573,A106,'LEAVE LOG'!C$1:C$1048573,"Annual Leave",'LEAVE LOG'!G$1:G$1048573,"Approved")</f>
        <v>0</v>
      </c>
      <c r="E106">
        <f t="shared" si="3"/>
        <v>10</v>
      </c>
      <c r="F106">
        <f>SUMIFS('LEAVE LOG'!F$1:F$1048573,'LEAVE LOG'!B$1:B$1048573,A106,'LEAVE LOG'!C$1:C$1048573,"Paternity Leave",'LEAVE LOG'!G$1:G$1048573,"Approved")</f>
        <v>0</v>
      </c>
      <c r="G106">
        <f>SUMIFS('LEAVE LOG'!F$1:F$1048573,'LEAVE LOG'!B$1:B$1048573,A106,'LEAVE LOG'!C$1:C$1048573,"Maternity Leave",'LEAVE LOG'!G$1:G$1048573,"Approved")</f>
        <v>0</v>
      </c>
      <c r="H106">
        <f>SUMIFS('LEAVE LOG'!F$1:F$1048573,'LEAVE LOG'!B$1:B$1048573,A106,'LEAVE LOG'!C$1:C$1048573,"Marital Leave",'LEAVE LOG'!G$1:G$1048573,"Approved")</f>
        <v>0</v>
      </c>
      <c r="I106">
        <f>SUMIFS('LEAVE LOG'!F$1:F$1048573,'LEAVE LOG'!B$1:B$1048573,A106,'LEAVE LOG'!C$1:C$1048573,"Compassionate Leave",'LEAVE LOG'!G$1:G$1048573,"Approved")</f>
        <v>0</v>
      </c>
    </row>
    <row r="107" spans="1:9" x14ac:dyDescent="0.25">
      <c r="B107">
        <f>SUMIFS('LEAVE LOG'!F$1:F$1048573,'LEAVE LOG'!B$1:B$1048573,A107,'LEAVE LOG'!C$1:C$1048573,"Sick Leave",'LEAVE LOG'!G$1:G$1048573,"Approved")</f>
        <v>0</v>
      </c>
      <c r="C107">
        <f t="shared" si="2"/>
        <v>5</v>
      </c>
      <c r="D107">
        <f>SUMIFS('LEAVE LOG'!F$1:F$1048573,'LEAVE LOG'!B$1:B$1048573,A107,'LEAVE LOG'!C$1:C$1048573,"Annual Leave",'LEAVE LOG'!G$1:G$1048573,"Approved")</f>
        <v>0</v>
      </c>
      <c r="E107">
        <f t="shared" si="3"/>
        <v>10</v>
      </c>
      <c r="F107">
        <f>SUMIFS('LEAVE LOG'!F$1:F$1048573,'LEAVE LOG'!B$1:B$1048573,A107,'LEAVE LOG'!C$1:C$1048573,"Paternity Leave",'LEAVE LOG'!G$1:G$1048573,"Approved")</f>
        <v>0</v>
      </c>
      <c r="G107">
        <f>SUMIFS('LEAVE LOG'!F$1:F$1048573,'LEAVE LOG'!B$1:B$1048573,A107,'LEAVE LOG'!C$1:C$1048573,"Maternity Leave",'LEAVE LOG'!G$1:G$1048573,"Approved")</f>
        <v>0</v>
      </c>
      <c r="H107">
        <f>SUMIFS('LEAVE LOG'!F$1:F$1048573,'LEAVE LOG'!B$1:B$1048573,A107,'LEAVE LOG'!C$1:C$1048573,"Marital Leave",'LEAVE LOG'!G$1:G$1048573,"Approved")</f>
        <v>0</v>
      </c>
      <c r="I107">
        <f>SUMIFS('LEAVE LOG'!F$1:F$1048573,'LEAVE LOG'!B$1:B$1048573,A107,'LEAVE LOG'!C$1:C$1048573,"Compassionate Leave",'LEAVE LOG'!G$1:G$1048573,"Approved")</f>
        <v>0</v>
      </c>
    </row>
    <row r="108" spans="1:9" x14ac:dyDescent="0.25">
      <c r="B108">
        <f>SUMIFS('LEAVE LOG'!F$1:F$1048573,'LEAVE LOG'!B$1:B$1048573,A108,'LEAVE LOG'!C$1:C$1048573,"Sick Leave",'LEAVE LOG'!G$1:G$1048573,"Approved")</f>
        <v>0</v>
      </c>
      <c r="C108">
        <f t="shared" si="2"/>
        <v>5</v>
      </c>
      <c r="D108">
        <f>SUMIFS('LEAVE LOG'!F$1:F$1048573,'LEAVE LOG'!B$1:B$1048573,A108,'LEAVE LOG'!C$1:C$1048573,"Annual Leave",'LEAVE LOG'!G$1:G$1048573,"Approved")</f>
        <v>0</v>
      </c>
      <c r="E108">
        <f t="shared" si="3"/>
        <v>10</v>
      </c>
      <c r="F108">
        <f>SUMIFS('LEAVE LOG'!F$1:F$1048573,'LEAVE LOG'!B$1:B$1048573,A108,'LEAVE LOG'!C$1:C$1048573,"Paternity Leave",'LEAVE LOG'!G$1:G$1048573,"Approved")</f>
        <v>0</v>
      </c>
      <c r="G108">
        <f>SUMIFS('LEAVE LOG'!F$1:F$1048573,'LEAVE LOG'!B$1:B$1048573,A108,'LEAVE LOG'!C$1:C$1048573,"Maternity Leave",'LEAVE LOG'!G$1:G$1048573,"Approved")</f>
        <v>0</v>
      </c>
      <c r="H108">
        <f>SUMIFS('LEAVE LOG'!F$1:F$1048573,'LEAVE LOG'!B$1:B$1048573,A108,'LEAVE LOG'!C$1:C$1048573,"Marital Leave",'LEAVE LOG'!G$1:G$1048573,"Approved")</f>
        <v>0</v>
      </c>
      <c r="I108">
        <f>SUMIFS('LEAVE LOG'!F$1:F$1048573,'LEAVE LOG'!B$1:B$1048573,A108,'LEAVE LOG'!C$1:C$1048573,"Compassionate Leave",'LEAVE LOG'!G$1:G$1048573,"Approved")</f>
        <v>0</v>
      </c>
    </row>
    <row r="109" spans="1:9" x14ac:dyDescent="0.25">
      <c r="B109">
        <f>SUMIFS('LEAVE LOG'!F$1:F$1048573,'LEAVE LOG'!B$1:B$1048573,A109,'LEAVE LOG'!C$1:C$1048573,"Sick Leave",'LEAVE LOG'!G$1:G$1048573,"Approved")</f>
        <v>0</v>
      </c>
      <c r="C109">
        <f t="shared" si="2"/>
        <v>5</v>
      </c>
      <c r="D109">
        <f>SUMIFS('LEAVE LOG'!F$1:F$1048573,'LEAVE LOG'!B$1:B$1048573,A109,'LEAVE LOG'!C$1:C$1048573,"Annual Leave",'LEAVE LOG'!G$1:G$1048573,"Approved")</f>
        <v>0</v>
      </c>
      <c r="E109">
        <f t="shared" si="3"/>
        <v>10</v>
      </c>
      <c r="F109">
        <f>SUMIFS('LEAVE LOG'!F$1:F$1048573,'LEAVE LOG'!B$1:B$1048573,A109,'LEAVE LOG'!C$1:C$1048573,"Paternity Leave",'LEAVE LOG'!G$1:G$1048573,"Approved")</f>
        <v>0</v>
      </c>
      <c r="G109">
        <f>SUMIFS('LEAVE LOG'!F$1:F$1048573,'LEAVE LOG'!B$1:B$1048573,A109,'LEAVE LOG'!C$1:C$1048573,"Maternity Leave",'LEAVE LOG'!G$1:G$1048573,"Approved")</f>
        <v>0</v>
      </c>
      <c r="H109">
        <f>SUMIFS('LEAVE LOG'!F$1:F$1048573,'LEAVE LOG'!B$1:B$1048573,A109,'LEAVE LOG'!C$1:C$1048573,"Marital Leave",'LEAVE LOG'!G$1:G$1048573,"Approved")</f>
        <v>0</v>
      </c>
      <c r="I109">
        <f>SUMIFS('LEAVE LOG'!F$1:F$1048573,'LEAVE LOG'!B$1:B$1048573,A109,'LEAVE LOG'!C$1:C$1048573,"Compassionate Leave",'LEAVE LOG'!G$1:G$1048573,"Approved")</f>
        <v>0</v>
      </c>
    </row>
    <row r="110" spans="1:9" x14ac:dyDescent="0.25">
      <c r="B110">
        <f>SUMIFS('LEAVE LOG'!F$1:F$1048573,'LEAVE LOG'!B$1:B$1048573,A110,'LEAVE LOG'!C$1:C$1048573,"Sick Leave",'LEAVE LOG'!G$1:G$1048573,"Approved")</f>
        <v>0</v>
      </c>
      <c r="C110">
        <f t="shared" si="2"/>
        <v>5</v>
      </c>
      <c r="D110">
        <f>SUMIFS('LEAVE LOG'!F$1:F$1048573,'LEAVE LOG'!B$1:B$1048573,A110,'LEAVE LOG'!C$1:C$1048573,"Annual Leave",'LEAVE LOG'!G$1:G$1048573,"Approved")</f>
        <v>0</v>
      </c>
      <c r="E110">
        <f t="shared" si="3"/>
        <v>10</v>
      </c>
      <c r="F110">
        <f>SUMIFS('LEAVE LOG'!F$1:F$1048573,'LEAVE LOG'!B$1:B$1048573,A110,'LEAVE LOG'!C$1:C$1048573,"Paternity Leave",'LEAVE LOG'!G$1:G$1048573,"Approved")</f>
        <v>0</v>
      </c>
      <c r="G110">
        <f>SUMIFS('LEAVE LOG'!F$1:F$1048573,'LEAVE LOG'!B$1:B$1048573,A110,'LEAVE LOG'!C$1:C$1048573,"Maternity Leave",'LEAVE LOG'!G$1:G$1048573,"Approved")</f>
        <v>0</v>
      </c>
      <c r="H110">
        <f>SUMIFS('LEAVE LOG'!F$1:F$1048573,'LEAVE LOG'!B$1:B$1048573,A110,'LEAVE LOG'!C$1:C$1048573,"Marital Leave",'LEAVE LOG'!G$1:G$1048573,"Approved")</f>
        <v>0</v>
      </c>
      <c r="I110">
        <f>SUMIFS('LEAVE LOG'!F$1:F$1048573,'LEAVE LOG'!B$1:B$1048573,A110,'LEAVE LOG'!C$1:C$1048573,"Compassionate Leave",'LEAVE LOG'!G$1:G$1048573,"Approved")</f>
        <v>0</v>
      </c>
    </row>
    <row r="111" spans="1:9" x14ac:dyDescent="0.25">
      <c r="B111">
        <f>SUMIFS('LEAVE LOG'!F$1:F$1048573,'LEAVE LOG'!B$1:B$1048573,A111,'LEAVE LOG'!C$1:C$1048573,"Sick Leave",'LEAVE LOG'!G$1:G$1048573,"Approved")</f>
        <v>0</v>
      </c>
      <c r="C111">
        <f t="shared" si="2"/>
        <v>5</v>
      </c>
      <c r="D111">
        <f>SUMIFS('LEAVE LOG'!F$1:F$1048573,'LEAVE LOG'!B$1:B$1048573,A111,'LEAVE LOG'!C$1:C$1048573,"Annual Leave",'LEAVE LOG'!G$1:G$1048573,"Approved")</f>
        <v>0</v>
      </c>
      <c r="E111">
        <f t="shared" si="3"/>
        <v>10</v>
      </c>
      <c r="F111">
        <f>SUMIFS('LEAVE LOG'!F$1:F$1048573,'LEAVE LOG'!B$1:B$1048573,A111,'LEAVE LOG'!C$1:C$1048573,"Paternity Leave",'LEAVE LOG'!G$1:G$1048573,"Approved")</f>
        <v>0</v>
      </c>
      <c r="G111">
        <f>SUMIFS('LEAVE LOG'!F$1:F$1048573,'LEAVE LOG'!B$1:B$1048573,A111,'LEAVE LOG'!C$1:C$1048573,"Maternity Leave",'LEAVE LOG'!G$1:G$1048573,"Approved")</f>
        <v>0</v>
      </c>
      <c r="H111">
        <f>SUMIFS('LEAVE LOG'!F$1:F$1048573,'LEAVE LOG'!B$1:B$1048573,A111,'LEAVE LOG'!C$1:C$1048573,"Marital Leave",'LEAVE LOG'!G$1:G$1048573,"Approved")</f>
        <v>0</v>
      </c>
      <c r="I111">
        <f>SUMIFS('LEAVE LOG'!F$1:F$1048573,'LEAVE LOG'!B$1:B$1048573,A111,'LEAVE LOG'!C$1:C$1048573,"Compassionate Leave",'LEAVE LOG'!G$1:G$1048573,"Approved")</f>
        <v>0</v>
      </c>
    </row>
    <row r="112" spans="1:9" x14ac:dyDescent="0.25">
      <c r="B112">
        <f>SUMIFS('LEAVE LOG'!F$1:F$1048573,'LEAVE LOG'!B$1:B$1048573,A112,'LEAVE LOG'!C$1:C$1048573,"Sick Leave",'LEAVE LOG'!G$1:G$1048573,"Approved")</f>
        <v>0</v>
      </c>
      <c r="C112">
        <f t="shared" si="2"/>
        <v>5</v>
      </c>
      <c r="D112">
        <f>SUMIFS('LEAVE LOG'!F$1:F$1048573,'LEAVE LOG'!B$1:B$1048573,A112,'LEAVE LOG'!C$1:C$1048573,"Annual Leave",'LEAVE LOG'!G$1:G$1048573,"Approved")</f>
        <v>0</v>
      </c>
      <c r="E112">
        <f t="shared" si="3"/>
        <v>10</v>
      </c>
      <c r="F112">
        <f>SUMIFS('LEAVE LOG'!F$1:F$1048573,'LEAVE LOG'!B$1:B$1048573,A112,'LEAVE LOG'!C$1:C$1048573,"Paternity Leave",'LEAVE LOG'!G$1:G$1048573,"Approved")</f>
        <v>0</v>
      </c>
      <c r="G112">
        <f>SUMIFS('LEAVE LOG'!F$1:F$1048573,'LEAVE LOG'!B$1:B$1048573,A112,'LEAVE LOG'!C$1:C$1048573,"Maternity Leave",'LEAVE LOG'!G$1:G$1048573,"Approved")</f>
        <v>0</v>
      </c>
      <c r="H112">
        <f>SUMIFS('LEAVE LOG'!F$1:F$1048573,'LEAVE LOG'!B$1:B$1048573,A112,'LEAVE LOG'!C$1:C$1048573,"Marital Leave",'LEAVE LOG'!G$1:G$1048573,"Approved")</f>
        <v>0</v>
      </c>
      <c r="I112">
        <f>SUMIFS('LEAVE LOG'!F$1:F$1048573,'LEAVE LOG'!B$1:B$1048573,A112,'LEAVE LOG'!C$1:C$1048573,"Compassionate Leave",'LEAVE LOG'!G$1:G$1048573,"Approved")</f>
        <v>0</v>
      </c>
    </row>
    <row r="113" spans="2:9" x14ac:dyDescent="0.25">
      <c r="B113">
        <f>SUMIFS('LEAVE LOG'!F$1:F$1048573,'LEAVE LOG'!B$1:B$1048573,A113,'LEAVE LOG'!C$1:C$1048573,"Sick Leave",'LEAVE LOG'!G$1:G$1048573,"Approved")</f>
        <v>0</v>
      </c>
      <c r="C113">
        <f t="shared" si="2"/>
        <v>5</v>
      </c>
      <c r="D113">
        <f>SUMIFS('LEAVE LOG'!F$1:F$1048573,'LEAVE LOG'!B$1:B$1048573,A113,'LEAVE LOG'!C$1:C$1048573,"Annual Leave",'LEAVE LOG'!G$1:G$1048573,"Approved")</f>
        <v>0</v>
      </c>
      <c r="E113">
        <f t="shared" si="3"/>
        <v>10</v>
      </c>
      <c r="F113">
        <f>SUMIFS('LEAVE LOG'!F$1:F$1048573,'LEAVE LOG'!B$1:B$1048573,A113,'LEAVE LOG'!C$1:C$1048573,"Paternity Leave",'LEAVE LOG'!G$1:G$1048573,"Approved")</f>
        <v>0</v>
      </c>
      <c r="G113">
        <f>SUMIFS('LEAVE LOG'!F$1:F$1048573,'LEAVE LOG'!B$1:B$1048573,A113,'LEAVE LOG'!C$1:C$1048573,"Maternity Leave",'LEAVE LOG'!G$1:G$1048573,"Approved")</f>
        <v>0</v>
      </c>
      <c r="H113">
        <f>SUMIFS('LEAVE LOG'!F$1:F$1048573,'LEAVE LOG'!B$1:B$1048573,A113,'LEAVE LOG'!C$1:C$1048573,"Marital Leave",'LEAVE LOG'!G$1:G$1048573,"Approved")</f>
        <v>0</v>
      </c>
      <c r="I113">
        <f>SUMIFS('LEAVE LOG'!F$1:F$1048573,'LEAVE LOG'!B$1:B$1048573,A113,'LEAVE LOG'!C$1:C$1048573,"Compassionate Leave",'LEAVE LOG'!G$1:G$1048573,"Approved")</f>
        <v>0</v>
      </c>
    </row>
    <row r="114" spans="2:9" x14ac:dyDescent="0.25">
      <c r="B114">
        <f>SUMIFS('LEAVE LOG'!F$1:F$1048573,'LEAVE LOG'!B$1:B$1048573,A114,'LEAVE LOG'!C$1:C$1048573,"Sick Leave",'LEAVE LOG'!G$1:G$1048573,"Approved")</f>
        <v>0</v>
      </c>
      <c r="C114">
        <f t="shared" si="2"/>
        <v>5</v>
      </c>
      <c r="D114">
        <f>SUMIFS('LEAVE LOG'!F$1:F$1048573,'LEAVE LOG'!B$1:B$1048573,A114,'LEAVE LOG'!C$1:C$1048573,"Annual Leave",'LEAVE LOG'!G$1:G$1048573,"Approved")</f>
        <v>0</v>
      </c>
      <c r="E114">
        <f t="shared" si="3"/>
        <v>10</v>
      </c>
      <c r="F114">
        <f>SUMIFS('LEAVE LOG'!F$1:F$1048573,'LEAVE LOG'!B$1:B$1048573,A114,'LEAVE LOG'!C$1:C$1048573,"Paternity Leave",'LEAVE LOG'!G$1:G$1048573,"Approved")</f>
        <v>0</v>
      </c>
      <c r="G114">
        <f>SUMIFS('LEAVE LOG'!F$1:F$1048573,'LEAVE LOG'!B$1:B$1048573,A114,'LEAVE LOG'!C$1:C$1048573,"Maternity Leave",'LEAVE LOG'!G$1:G$1048573,"Approved")</f>
        <v>0</v>
      </c>
      <c r="H114">
        <f>SUMIFS('LEAVE LOG'!F$1:F$1048573,'LEAVE LOG'!B$1:B$1048573,A114,'LEAVE LOG'!C$1:C$1048573,"Marital Leave",'LEAVE LOG'!G$1:G$1048573,"Approved")</f>
        <v>0</v>
      </c>
      <c r="I114">
        <f>SUMIFS('LEAVE LOG'!F$1:F$1048573,'LEAVE LOG'!B$1:B$1048573,A114,'LEAVE LOG'!C$1:C$1048573,"Compassionate Leave",'LEAVE LOG'!G$1:G$1048573,"Approved")</f>
        <v>0</v>
      </c>
    </row>
    <row r="115" spans="2:9" x14ac:dyDescent="0.25">
      <c r="B115">
        <f>SUMIFS('LEAVE LOG'!F$1:F$1048573,'LEAVE LOG'!B$1:B$1048573,A115,'LEAVE LOG'!C$1:C$1048573,"Sick Leave",'LEAVE LOG'!G$1:G$1048573,"Approved")</f>
        <v>0</v>
      </c>
      <c r="C115">
        <f t="shared" si="2"/>
        <v>5</v>
      </c>
      <c r="D115">
        <f>SUMIFS('LEAVE LOG'!F$1:F$1048573,'LEAVE LOG'!B$1:B$1048573,A115,'LEAVE LOG'!C$1:C$1048573,"Annual Leave",'LEAVE LOG'!G$1:G$1048573,"Approved")</f>
        <v>0</v>
      </c>
      <c r="E115">
        <f t="shared" si="3"/>
        <v>10</v>
      </c>
      <c r="F115">
        <f>SUMIFS('LEAVE LOG'!F$1:F$1048573,'LEAVE LOG'!B$1:B$1048573,A115,'LEAVE LOG'!C$1:C$1048573,"Paternity Leave",'LEAVE LOG'!G$1:G$1048573,"Approved")</f>
        <v>0</v>
      </c>
      <c r="G115">
        <f>SUMIFS('LEAVE LOG'!F$1:F$1048573,'LEAVE LOG'!B$1:B$1048573,A115,'LEAVE LOG'!C$1:C$1048573,"Maternity Leave",'LEAVE LOG'!G$1:G$1048573,"Approved")</f>
        <v>0</v>
      </c>
      <c r="H115">
        <f>SUMIFS('LEAVE LOG'!F$1:F$1048573,'LEAVE LOG'!B$1:B$1048573,A115,'LEAVE LOG'!C$1:C$1048573,"Marital Leave",'LEAVE LOG'!G$1:G$1048573,"Approved")</f>
        <v>0</v>
      </c>
      <c r="I115">
        <f>SUMIFS('LEAVE LOG'!F$1:F$1048573,'LEAVE LOG'!B$1:B$1048573,A115,'LEAVE LOG'!C$1:C$1048573,"Compassionate Leave",'LEAVE LOG'!G$1:G$1048573,"Approved")</f>
        <v>0</v>
      </c>
    </row>
    <row r="116" spans="2:9" x14ac:dyDescent="0.25">
      <c r="B116">
        <f>SUMIFS('LEAVE LOG'!F$1:F$1048573,'LEAVE LOG'!B$1:B$1048573,A116,'LEAVE LOG'!C$1:C$1048573,"Sick Leave",'LEAVE LOG'!G$1:G$1048573,"Approved")</f>
        <v>0</v>
      </c>
      <c r="C116">
        <f t="shared" si="2"/>
        <v>5</v>
      </c>
      <c r="D116">
        <f>SUMIFS('LEAVE LOG'!F$1:F$1048573,'LEAVE LOG'!B$1:B$1048573,A116,'LEAVE LOG'!C$1:C$1048573,"Annual Leave",'LEAVE LOG'!G$1:G$1048573,"Approved")</f>
        <v>0</v>
      </c>
      <c r="E116">
        <f t="shared" si="3"/>
        <v>10</v>
      </c>
      <c r="F116">
        <f>SUMIFS('LEAVE LOG'!F$1:F$1048573,'LEAVE LOG'!B$1:B$1048573,A116,'LEAVE LOG'!C$1:C$1048573,"Paternity Leave",'LEAVE LOG'!G$1:G$1048573,"Approved")</f>
        <v>0</v>
      </c>
      <c r="G116">
        <f>SUMIFS('LEAVE LOG'!F$1:F$1048573,'LEAVE LOG'!B$1:B$1048573,A116,'LEAVE LOG'!C$1:C$1048573,"Maternity Leave",'LEAVE LOG'!G$1:G$1048573,"Approved")</f>
        <v>0</v>
      </c>
      <c r="H116">
        <f>SUMIFS('LEAVE LOG'!F$1:F$1048573,'LEAVE LOG'!B$1:B$1048573,A116,'LEAVE LOG'!C$1:C$1048573,"Marital Leave",'LEAVE LOG'!G$1:G$1048573,"Approved")</f>
        <v>0</v>
      </c>
      <c r="I116">
        <f>SUMIFS('LEAVE LOG'!F$1:F$1048573,'LEAVE LOG'!B$1:B$1048573,A116,'LEAVE LOG'!C$1:C$1048573,"Compassionate Leave",'LEAVE LOG'!G$1:G$1048573,"Approved")</f>
        <v>0</v>
      </c>
    </row>
    <row r="117" spans="2:9" x14ac:dyDescent="0.25">
      <c r="B117">
        <f>SUMIFS('LEAVE LOG'!F$1:F$1048573,'LEAVE LOG'!B$1:B$1048573,A117,'LEAVE LOG'!C$1:C$1048573,"Sick Leave",'LEAVE LOG'!G$1:G$1048573,"Approved")</f>
        <v>0</v>
      </c>
      <c r="C117">
        <f t="shared" si="2"/>
        <v>5</v>
      </c>
      <c r="D117">
        <f>SUMIFS('LEAVE LOG'!F$1:F$1048573,'LEAVE LOG'!B$1:B$1048573,A117,'LEAVE LOG'!C$1:C$1048573,"Annual Leave",'LEAVE LOG'!G$1:G$1048573,"Approved")</f>
        <v>0</v>
      </c>
      <c r="E117">
        <f t="shared" si="3"/>
        <v>10</v>
      </c>
      <c r="F117">
        <f>SUMIFS('LEAVE LOG'!F$1:F$1048573,'LEAVE LOG'!B$1:B$1048573,A117,'LEAVE LOG'!C$1:C$1048573,"Paternity Leave",'LEAVE LOG'!G$1:G$1048573,"Approved")</f>
        <v>0</v>
      </c>
      <c r="G117">
        <f>SUMIFS('LEAVE LOG'!F$1:F$1048573,'LEAVE LOG'!B$1:B$1048573,A117,'LEAVE LOG'!C$1:C$1048573,"Maternity Leave",'LEAVE LOG'!G$1:G$1048573,"Approved")</f>
        <v>0</v>
      </c>
      <c r="H117">
        <f>SUMIFS('LEAVE LOG'!F$1:F$1048573,'LEAVE LOG'!B$1:B$1048573,A117,'LEAVE LOG'!C$1:C$1048573,"Marital Leave",'LEAVE LOG'!G$1:G$1048573,"Approved")</f>
        <v>0</v>
      </c>
      <c r="I117">
        <f>SUMIFS('LEAVE LOG'!F$1:F$1048573,'LEAVE LOG'!B$1:B$1048573,A117,'LEAVE LOG'!C$1:C$1048573,"Compassionate Leave",'LEAVE LOG'!G$1:G$1048573,"Approved")</f>
        <v>0</v>
      </c>
    </row>
    <row r="118" spans="2:9" x14ac:dyDescent="0.25">
      <c r="B118">
        <f>SUMIFS('LEAVE LOG'!F$1:F$1048573,'LEAVE LOG'!B$1:B$1048573,A118,'LEAVE LOG'!C$1:C$1048573,"Sick Leave",'LEAVE LOG'!G$1:G$1048573,"Approved")</f>
        <v>0</v>
      </c>
      <c r="C118">
        <f t="shared" si="2"/>
        <v>5</v>
      </c>
      <c r="D118">
        <f>SUMIFS('LEAVE LOG'!F$1:F$1048573,'LEAVE LOG'!B$1:B$1048573,A118,'LEAVE LOG'!C$1:C$1048573,"Annual Leave",'LEAVE LOG'!G$1:G$1048573,"Approved")</f>
        <v>0</v>
      </c>
      <c r="E118">
        <f t="shared" si="3"/>
        <v>10</v>
      </c>
      <c r="F118">
        <f>SUMIFS('LEAVE LOG'!F$1:F$1048573,'LEAVE LOG'!B$1:B$1048573,A118,'LEAVE LOG'!C$1:C$1048573,"Paternity Leave",'LEAVE LOG'!G$1:G$1048573,"Approved")</f>
        <v>0</v>
      </c>
      <c r="G118">
        <f>SUMIFS('LEAVE LOG'!F$1:F$1048573,'LEAVE LOG'!B$1:B$1048573,A118,'LEAVE LOG'!C$1:C$1048573,"Maternity Leave",'LEAVE LOG'!G$1:G$1048573,"Approved")</f>
        <v>0</v>
      </c>
      <c r="H118">
        <f>SUMIFS('LEAVE LOG'!F$1:F$1048573,'LEAVE LOG'!B$1:B$1048573,A118,'LEAVE LOG'!C$1:C$1048573,"Marital Leave",'LEAVE LOG'!G$1:G$1048573,"Approved")</f>
        <v>0</v>
      </c>
      <c r="I118">
        <f>SUMIFS('LEAVE LOG'!F$1:F$1048573,'LEAVE LOG'!B$1:B$1048573,A118,'LEAVE LOG'!C$1:C$1048573,"Compassionate Leave",'LEAVE LOG'!G$1:G$1048573,"Approved")</f>
        <v>0</v>
      </c>
    </row>
    <row r="119" spans="2:9" x14ac:dyDescent="0.25">
      <c r="B119">
        <f>SUMIFS('LEAVE LOG'!F$1:F$1048573,'LEAVE LOG'!B$1:B$1048573,A119,'LEAVE LOG'!C$1:C$1048573,"Sick Leave",'LEAVE LOG'!G$1:G$1048573,"Approved")</f>
        <v>0</v>
      </c>
      <c r="C119">
        <f t="shared" si="2"/>
        <v>5</v>
      </c>
      <c r="D119">
        <f>SUMIFS('LEAVE LOG'!F$1:F$1048573,'LEAVE LOG'!B$1:B$1048573,A119,'LEAVE LOG'!C$1:C$1048573,"Annual Leave",'LEAVE LOG'!G$1:G$1048573,"Approved")</f>
        <v>0</v>
      </c>
      <c r="E119">
        <f t="shared" si="3"/>
        <v>10</v>
      </c>
      <c r="F119">
        <f>SUMIFS('LEAVE LOG'!F$1:F$1048573,'LEAVE LOG'!B$1:B$1048573,A119,'LEAVE LOG'!C$1:C$1048573,"Paternity Leave",'LEAVE LOG'!G$1:G$1048573,"Approved")</f>
        <v>0</v>
      </c>
      <c r="G119">
        <f>SUMIFS('LEAVE LOG'!F$1:F$1048573,'LEAVE LOG'!B$1:B$1048573,A119,'LEAVE LOG'!C$1:C$1048573,"Maternity Leave",'LEAVE LOG'!G$1:G$1048573,"Approved")</f>
        <v>0</v>
      </c>
      <c r="H119">
        <f>SUMIFS('LEAVE LOG'!F$1:F$1048573,'LEAVE LOG'!B$1:B$1048573,A119,'LEAVE LOG'!C$1:C$1048573,"Marital Leave",'LEAVE LOG'!G$1:G$1048573,"Approved")</f>
        <v>0</v>
      </c>
      <c r="I119">
        <f>SUMIFS('LEAVE LOG'!F$1:F$1048573,'LEAVE LOG'!B$1:B$1048573,A119,'LEAVE LOG'!C$1:C$1048573,"Compassionate Leave",'LEAVE LOG'!G$1:G$1048573,"Approved")</f>
        <v>0</v>
      </c>
    </row>
    <row r="120" spans="2:9" x14ac:dyDescent="0.25">
      <c r="B120">
        <f>SUMIFS('LEAVE LOG'!F$1:F$1048573,'LEAVE LOG'!B$1:B$1048573,A120,'LEAVE LOG'!C$1:C$1048573,"Sick Leave",'LEAVE LOG'!G$1:G$1048573,"Approved")</f>
        <v>0</v>
      </c>
      <c r="C120">
        <f t="shared" si="2"/>
        <v>5</v>
      </c>
      <c r="D120">
        <f>SUMIFS('LEAVE LOG'!F$1:F$1048573,'LEAVE LOG'!B$1:B$1048573,A120,'LEAVE LOG'!C$1:C$1048573,"Annual Leave",'LEAVE LOG'!G$1:G$1048573,"Approved")</f>
        <v>0</v>
      </c>
      <c r="E120">
        <f t="shared" si="3"/>
        <v>10</v>
      </c>
      <c r="F120">
        <f>SUMIFS('LEAVE LOG'!F$1:F$1048573,'LEAVE LOG'!B$1:B$1048573,A120,'LEAVE LOG'!C$1:C$1048573,"Paternity Leave",'LEAVE LOG'!G$1:G$1048573,"Approved")</f>
        <v>0</v>
      </c>
      <c r="G120">
        <f>SUMIFS('LEAVE LOG'!F$1:F$1048573,'LEAVE LOG'!B$1:B$1048573,A120,'LEAVE LOG'!C$1:C$1048573,"Maternity Leave",'LEAVE LOG'!G$1:G$1048573,"Approved")</f>
        <v>0</v>
      </c>
      <c r="H120">
        <f>SUMIFS('LEAVE LOG'!F$1:F$1048573,'LEAVE LOG'!B$1:B$1048573,A120,'LEAVE LOG'!C$1:C$1048573,"Marital Leave",'LEAVE LOG'!G$1:G$1048573,"Approved")</f>
        <v>0</v>
      </c>
      <c r="I120">
        <f>SUMIFS('LEAVE LOG'!F$1:F$1048573,'LEAVE LOG'!B$1:B$1048573,A120,'LEAVE LOG'!C$1:C$1048573,"Compassionate Leave",'LEAVE LOG'!G$1:G$1048573,"Approved")</f>
        <v>0</v>
      </c>
    </row>
    <row r="121" spans="2:9" x14ac:dyDescent="0.25">
      <c r="B121">
        <f>SUMIFS('LEAVE LOG'!F$1:F$1048573,'LEAVE LOG'!B$1:B$1048573,A121,'LEAVE LOG'!C$1:C$1048573,"Sick Leave",'LEAVE LOG'!G$1:G$1048573,"Approved")</f>
        <v>0</v>
      </c>
      <c r="C121">
        <f t="shared" si="2"/>
        <v>5</v>
      </c>
      <c r="D121">
        <f>SUMIFS('LEAVE LOG'!F$1:F$1048573,'LEAVE LOG'!B$1:B$1048573,A121,'LEAVE LOG'!C$1:C$1048573,"Annual Leave",'LEAVE LOG'!G$1:G$1048573,"Approved")</f>
        <v>0</v>
      </c>
      <c r="E121">
        <f t="shared" si="3"/>
        <v>10</v>
      </c>
      <c r="F121">
        <f>SUMIFS('LEAVE LOG'!F$1:F$1048573,'LEAVE LOG'!B$1:B$1048573,A121,'LEAVE LOG'!C$1:C$1048573,"Paternity Leave",'LEAVE LOG'!G$1:G$1048573,"Approved")</f>
        <v>0</v>
      </c>
      <c r="G121">
        <f>SUMIFS('LEAVE LOG'!F$1:F$1048573,'LEAVE LOG'!B$1:B$1048573,A121,'LEAVE LOG'!C$1:C$1048573,"Maternity Leave",'LEAVE LOG'!G$1:G$1048573,"Approved")</f>
        <v>0</v>
      </c>
      <c r="H121">
        <f>SUMIFS('LEAVE LOG'!F$1:F$1048573,'LEAVE LOG'!B$1:B$1048573,A121,'LEAVE LOG'!C$1:C$1048573,"Marital Leave",'LEAVE LOG'!G$1:G$1048573,"Approved")</f>
        <v>0</v>
      </c>
      <c r="I121">
        <f>SUMIFS('LEAVE LOG'!F$1:F$1048573,'LEAVE LOG'!B$1:B$1048573,A121,'LEAVE LOG'!C$1:C$1048573,"Compassionate Leave",'LEAVE LOG'!G$1:G$1048573,"Approved")</f>
        <v>0</v>
      </c>
    </row>
    <row r="122" spans="2:9" x14ac:dyDescent="0.25">
      <c r="B122">
        <f>SUMIFS('LEAVE LOG'!F$1:F$1048573,'LEAVE LOG'!B$1:B$1048573,A122,'LEAVE LOG'!C$1:C$1048573,"Sick Leave",'LEAVE LOG'!G$1:G$1048573,"Approved")</f>
        <v>0</v>
      </c>
      <c r="C122">
        <f t="shared" si="2"/>
        <v>5</v>
      </c>
      <c r="D122">
        <f>SUMIFS('LEAVE LOG'!F$1:F$1048573,'LEAVE LOG'!B$1:B$1048573,A122,'LEAVE LOG'!C$1:C$1048573,"Annual Leave",'LEAVE LOG'!G$1:G$1048573,"Approved")</f>
        <v>0</v>
      </c>
      <c r="E122">
        <f t="shared" si="3"/>
        <v>10</v>
      </c>
      <c r="F122">
        <f>SUMIFS('LEAVE LOG'!F$1:F$1048573,'LEAVE LOG'!B$1:B$1048573,A122,'LEAVE LOG'!C$1:C$1048573,"Paternity Leave",'LEAVE LOG'!G$1:G$1048573,"Approved")</f>
        <v>0</v>
      </c>
      <c r="G122">
        <f>SUMIFS('LEAVE LOG'!F$1:F$1048573,'LEAVE LOG'!B$1:B$1048573,A122,'LEAVE LOG'!C$1:C$1048573,"Maternity Leave",'LEAVE LOG'!G$1:G$1048573,"Approved")</f>
        <v>0</v>
      </c>
      <c r="H122">
        <f>SUMIFS('LEAVE LOG'!F$1:F$1048573,'LEAVE LOG'!B$1:B$1048573,A122,'LEAVE LOG'!C$1:C$1048573,"Marital Leave",'LEAVE LOG'!G$1:G$1048573,"Approved")</f>
        <v>0</v>
      </c>
      <c r="I122">
        <f>SUMIFS('LEAVE LOG'!F$1:F$1048573,'LEAVE LOG'!B$1:B$1048573,A122,'LEAVE LOG'!C$1:C$1048573,"Compassionate Leave",'LEAVE LOG'!G$1:G$1048573,"Approved")</f>
        <v>0</v>
      </c>
    </row>
    <row r="123" spans="2:9" x14ac:dyDescent="0.25">
      <c r="B123">
        <f>SUMIFS('LEAVE LOG'!F$1:F$1048573,'LEAVE LOG'!B$1:B$1048573,A123,'LEAVE LOG'!C$1:C$1048573,"Sick Leave",'LEAVE LOG'!G$1:G$1048573,"Approved")</f>
        <v>0</v>
      </c>
      <c r="C123">
        <f t="shared" si="2"/>
        <v>5</v>
      </c>
      <c r="D123">
        <f>SUMIFS('LEAVE LOG'!F$1:F$1048573,'LEAVE LOG'!B$1:B$1048573,A123,'LEAVE LOG'!C$1:C$1048573,"Annual Leave",'LEAVE LOG'!G$1:G$1048573,"Approved")</f>
        <v>0</v>
      </c>
      <c r="E123">
        <f t="shared" si="3"/>
        <v>10</v>
      </c>
      <c r="F123">
        <f>SUMIFS('LEAVE LOG'!F$1:F$1048573,'LEAVE LOG'!B$1:B$1048573,A123,'LEAVE LOG'!C$1:C$1048573,"Paternity Leave",'LEAVE LOG'!G$1:G$1048573,"Approved")</f>
        <v>0</v>
      </c>
      <c r="G123">
        <f>SUMIFS('LEAVE LOG'!F$1:F$1048573,'LEAVE LOG'!B$1:B$1048573,A123,'LEAVE LOG'!C$1:C$1048573,"Maternity Leave",'LEAVE LOG'!G$1:G$1048573,"Approved")</f>
        <v>0</v>
      </c>
      <c r="H123">
        <f>SUMIFS('LEAVE LOG'!F$1:F$1048573,'LEAVE LOG'!B$1:B$1048573,A123,'LEAVE LOG'!C$1:C$1048573,"Marital Leave",'LEAVE LOG'!G$1:G$1048573,"Approved")</f>
        <v>0</v>
      </c>
      <c r="I123">
        <f>SUMIFS('LEAVE LOG'!F$1:F$1048573,'LEAVE LOG'!B$1:B$1048573,A123,'LEAVE LOG'!C$1:C$1048573,"Compassionate Leave",'LEAVE LOG'!G$1:G$1048573,"Approved")</f>
        <v>0</v>
      </c>
    </row>
    <row r="124" spans="2:9" x14ac:dyDescent="0.25">
      <c r="B124">
        <f>SUMIFS('LEAVE LOG'!F$1:F$1048573,'LEAVE LOG'!B$1:B$1048573,A124,'LEAVE LOG'!C$1:C$1048573,"Sick Leave",'LEAVE LOG'!G$1:G$1048573,"Approved")</f>
        <v>0</v>
      </c>
      <c r="C124">
        <f t="shared" si="2"/>
        <v>5</v>
      </c>
      <c r="D124">
        <f>SUMIFS('LEAVE LOG'!F$1:F$1048573,'LEAVE LOG'!B$1:B$1048573,A124,'LEAVE LOG'!C$1:C$1048573,"Annual Leave",'LEAVE LOG'!G$1:G$1048573,"Approved")</f>
        <v>0</v>
      </c>
      <c r="E124">
        <f t="shared" si="3"/>
        <v>10</v>
      </c>
      <c r="F124">
        <f>SUMIFS('LEAVE LOG'!F$1:F$1048573,'LEAVE LOG'!B$1:B$1048573,A124,'LEAVE LOG'!C$1:C$1048573,"Paternity Leave",'LEAVE LOG'!G$1:G$1048573,"Approved")</f>
        <v>0</v>
      </c>
      <c r="G124">
        <f>SUMIFS('LEAVE LOG'!F$1:F$1048573,'LEAVE LOG'!B$1:B$1048573,A124,'LEAVE LOG'!C$1:C$1048573,"Maternity Leave",'LEAVE LOG'!G$1:G$1048573,"Approved")</f>
        <v>0</v>
      </c>
      <c r="H124">
        <f>SUMIFS('LEAVE LOG'!F$1:F$1048573,'LEAVE LOG'!B$1:B$1048573,A124,'LEAVE LOG'!C$1:C$1048573,"Marital Leave",'LEAVE LOG'!G$1:G$1048573,"Approved")</f>
        <v>0</v>
      </c>
      <c r="I124">
        <f>SUMIFS('LEAVE LOG'!F$1:F$1048573,'LEAVE LOG'!B$1:B$1048573,A124,'LEAVE LOG'!C$1:C$1048573,"Compassionate Leave",'LEAVE LOG'!G$1:G$1048573,"Approved")</f>
        <v>0</v>
      </c>
    </row>
    <row r="125" spans="2:9" x14ac:dyDescent="0.25">
      <c r="B125">
        <f>SUMIFS('LEAVE LOG'!F$1:F$1048573,'LEAVE LOG'!B$1:B$1048573,A125,'LEAVE LOG'!C$1:C$1048573,"Sick Leave",'LEAVE LOG'!G$1:G$1048573,"Approved")</f>
        <v>0</v>
      </c>
      <c r="C125">
        <f t="shared" si="2"/>
        <v>5</v>
      </c>
      <c r="D125">
        <f>SUMIFS('LEAVE LOG'!F$1:F$1048573,'LEAVE LOG'!B$1:B$1048573,A125,'LEAVE LOG'!C$1:C$1048573,"Annual Leave",'LEAVE LOG'!G$1:G$1048573,"Approved")</f>
        <v>0</v>
      </c>
      <c r="E125">
        <f t="shared" si="3"/>
        <v>10</v>
      </c>
      <c r="F125">
        <f>SUMIFS('LEAVE LOG'!F$1:F$1048573,'LEAVE LOG'!B$1:B$1048573,A125,'LEAVE LOG'!C$1:C$1048573,"Paternity Leave",'LEAVE LOG'!G$1:G$1048573,"Approved")</f>
        <v>0</v>
      </c>
      <c r="G125">
        <f>SUMIFS('LEAVE LOG'!F$1:F$1048573,'LEAVE LOG'!B$1:B$1048573,A125,'LEAVE LOG'!C$1:C$1048573,"Maternity Leave",'LEAVE LOG'!G$1:G$1048573,"Approved")</f>
        <v>0</v>
      </c>
      <c r="H125">
        <f>SUMIFS('LEAVE LOG'!F$1:F$1048573,'LEAVE LOG'!B$1:B$1048573,A125,'LEAVE LOG'!C$1:C$1048573,"Marital Leave",'LEAVE LOG'!G$1:G$1048573,"Approved")</f>
        <v>0</v>
      </c>
      <c r="I125">
        <f>SUMIFS('LEAVE LOG'!F$1:F$1048573,'LEAVE LOG'!B$1:B$1048573,A125,'LEAVE LOG'!C$1:C$1048573,"Compassionate Leave",'LEAVE LOG'!G$1:G$1048573,"Approved")</f>
        <v>0</v>
      </c>
    </row>
    <row r="126" spans="2:9" x14ac:dyDescent="0.25">
      <c r="B126">
        <f>SUMIFS('LEAVE LOG'!F$1:F$1048573,'LEAVE LOG'!B$1:B$1048573,A126,'LEAVE LOG'!C$1:C$1048573,"Sick Leave",'LEAVE LOG'!G$1:G$1048573,"Approved")</f>
        <v>0</v>
      </c>
      <c r="C126">
        <f t="shared" si="2"/>
        <v>5</v>
      </c>
      <c r="D126">
        <f>SUMIFS('LEAVE LOG'!F$1:F$1048573,'LEAVE LOG'!B$1:B$1048573,A126,'LEAVE LOG'!C$1:C$1048573,"Annual Leave",'LEAVE LOG'!G$1:G$1048573,"Approved")</f>
        <v>0</v>
      </c>
      <c r="E126">
        <f t="shared" si="3"/>
        <v>10</v>
      </c>
      <c r="F126">
        <f>SUMIFS('LEAVE LOG'!F$1:F$1048573,'LEAVE LOG'!B$1:B$1048573,A126,'LEAVE LOG'!C$1:C$1048573,"Paternity Leave",'LEAVE LOG'!G$1:G$1048573,"Approved")</f>
        <v>0</v>
      </c>
      <c r="G126">
        <f>SUMIFS('LEAVE LOG'!F$1:F$1048573,'LEAVE LOG'!B$1:B$1048573,A126,'LEAVE LOG'!C$1:C$1048573,"Maternity Leave",'LEAVE LOG'!G$1:G$1048573,"Approved")</f>
        <v>0</v>
      </c>
      <c r="H126">
        <f>SUMIFS('LEAVE LOG'!F$1:F$1048573,'LEAVE LOG'!B$1:B$1048573,A126,'LEAVE LOG'!C$1:C$1048573,"Marital Leave",'LEAVE LOG'!G$1:G$1048573,"Approved")</f>
        <v>0</v>
      </c>
      <c r="I126">
        <f>SUMIFS('LEAVE LOG'!F$1:F$1048573,'LEAVE LOG'!B$1:B$1048573,A126,'LEAVE LOG'!C$1:C$1048573,"Compassionate Leave",'LEAVE LOG'!G$1:G$1048573,"Approved")</f>
        <v>0</v>
      </c>
    </row>
    <row r="127" spans="2:9" x14ac:dyDescent="0.25">
      <c r="B127">
        <f>SUMIFS('LEAVE LOG'!F$1:F$1048573,'LEAVE LOG'!B$1:B$1048573,A127,'LEAVE LOG'!C$1:C$1048573,"Sick Leave",'LEAVE LOG'!G$1:G$1048573,"Approved")</f>
        <v>0</v>
      </c>
      <c r="C127">
        <f t="shared" si="2"/>
        <v>5</v>
      </c>
      <c r="D127">
        <f>SUMIFS('LEAVE LOG'!F$1:F$1048573,'LEAVE LOG'!B$1:B$1048573,A127,'LEAVE LOG'!C$1:C$1048573,"Annual Leave",'LEAVE LOG'!G$1:G$1048573,"Approved")</f>
        <v>0</v>
      </c>
      <c r="E127">
        <f t="shared" si="3"/>
        <v>10</v>
      </c>
      <c r="F127">
        <f>SUMIFS('LEAVE LOG'!F$1:F$1048573,'LEAVE LOG'!B$1:B$1048573,A127,'LEAVE LOG'!C$1:C$1048573,"Paternity Leave",'LEAVE LOG'!G$1:G$1048573,"Approved")</f>
        <v>0</v>
      </c>
      <c r="G127">
        <f>SUMIFS('LEAVE LOG'!F$1:F$1048573,'LEAVE LOG'!B$1:B$1048573,A127,'LEAVE LOG'!C$1:C$1048573,"Maternity Leave",'LEAVE LOG'!G$1:G$1048573,"Approved")</f>
        <v>0</v>
      </c>
      <c r="H127">
        <f>SUMIFS('LEAVE LOG'!F$1:F$1048573,'LEAVE LOG'!B$1:B$1048573,A127,'LEAVE LOG'!C$1:C$1048573,"Marital Leave",'LEAVE LOG'!G$1:G$1048573,"Approved")</f>
        <v>0</v>
      </c>
      <c r="I127">
        <f>SUMIFS('LEAVE LOG'!F$1:F$1048573,'LEAVE LOG'!B$1:B$1048573,A127,'LEAVE LOG'!C$1:C$1048573,"Compassionate Leave",'LEAVE LOG'!G$1:G$1048573,"Approved")</f>
        <v>0</v>
      </c>
    </row>
    <row r="128" spans="2:9" x14ac:dyDescent="0.25">
      <c r="B128">
        <f>SUMIFS('LEAVE LOG'!F$1:F$1048573,'LEAVE LOG'!B$1:B$1048573,A128,'LEAVE LOG'!C$1:C$1048573,"Sick Leave",'LEAVE LOG'!G$1:G$1048573,"Approved")</f>
        <v>0</v>
      </c>
      <c r="C128">
        <f t="shared" si="2"/>
        <v>5</v>
      </c>
      <c r="D128">
        <f>SUMIFS('LEAVE LOG'!F$1:F$1048573,'LEAVE LOG'!B$1:B$1048573,A128,'LEAVE LOG'!C$1:C$1048573,"Annual Leave",'LEAVE LOG'!G$1:G$1048573,"Approved")</f>
        <v>0</v>
      </c>
      <c r="E128">
        <f t="shared" si="3"/>
        <v>10</v>
      </c>
      <c r="F128">
        <f>SUMIFS('LEAVE LOG'!F$1:F$1048573,'LEAVE LOG'!B$1:B$1048573,A128,'LEAVE LOG'!C$1:C$1048573,"Paternity Leave",'LEAVE LOG'!G$1:G$1048573,"Approved")</f>
        <v>0</v>
      </c>
      <c r="G128">
        <f>SUMIFS('LEAVE LOG'!F$1:F$1048573,'LEAVE LOG'!B$1:B$1048573,A128,'LEAVE LOG'!C$1:C$1048573,"Maternity Leave",'LEAVE LOG'!G$1:G$1048573,"Approved")</f>
        <v>0</v>
      </c>
      <c r="H128">
        <f>SUMIFS('LEAVE LOG'!F$1:F$1048573,'LEAVE LOG'!B$1:B$1048573,A128,'LEAVE LOG'!C$1:C$1048573,"Marital Leave",'LEAVE LOG'!G$1:G$1048573,"Approved")</f>
        <v>0</v>
      </c>
      <c r="I128">
        <f>SUMIFS('LEAVE LOG'!F$1:F$1048573,'LEAVE LOG'!B$1:B$1048573,A128,'LEAVE LOG'!C$1:C$1048573,"Compassionate Leave",'LEAVE LOG'!G$1:G$1048573,"Approved")</f>
        <v>0</v>
      </c>
    </row>
    <row r="129" spans="2:9" x14ac:dyDescent="0.25">
      <c r="B129">
        <f>SUMIFS('LEAVE LOG'!F$1:F$1048573,'LEAVE LOG'!B$1:B$1048573,A129,'LEAVE LOG'!C$1:C$1048573,"Sick Leave",'LEAVE LOG'!G$1:G$1048573,"Approved")</f>
        <v>0</v>
      </c>
      <c r="C129">
        <f t="shared" si="2"/>
        <v>5</v>
      </c>
      <c r="D129">
        <f>SUMIFS('LEAVE LOG'!F$1:F$1048573,'LEAVE LOG'!B$1:B$1048573,A129,'LEAVE LOG'!C$1:C$1048573,"Annual Leave",'LEAVE LOG'!G$1:G$1048573,"Approved")</f>
        <v>0</v>
      </c>
      <c r="E129">
        <f t="shared" si="3"/>
        <v>10</v>
      </c>
      <c r="F129">
        <f>SUMIFS('LEAVE LOG'!F$1:F$1048573,'LEAVE LOG'!B$1:B$1048573,A129,'LEAVE LOG'!C$1:C$1048573,"Paternity Leave",'LEAVE LOG'!G$1:G$1048573,"Approved")</f>
        <v>0</v>
      </c>
      <c r="G129">
        <f>SUMIFS('LEAVE LOG'!F$1:F$1048573,'LEAVE LOG'!B$1:B$1048573,A129,'LEAVE LOG'!C$1:C$1048573,"Maternity Leave",'LEAVE LOG'!G$1:G$1048573,"Approved")</f>
        <v>0</v>
      </c>
      <c r="H129">
        <f>SUMIFS('LEAVE LOG'!F$1:F$1048573,'LEAVE LOG'!B$1:B$1048573,A129,'LEAVE LOG'!C$1:C$1048573,"Marital Leave",'LEAVE LOG'!G$1:G$1048573,"Approved")</f>
        <v>0</v>
      </c>
      <c r="I129">
        <f>SUMIFS('LEAVE LOG'!F$1:F$1048573,'LEAVE LOG'!B$1:B$1048573,A129,'LEAVE LOG'!C$1:C$1048573,"Compassionate Leave",'LEAVE LOG'!G$1:G$1048573,"Approved")</f>
        <v>0</v>
      </c>
    </row>
    <row r="130" spans="2:9" x14ac:dyDescent="0.25">
      <c r="B130">
        <f>SUMIFS('LEAVE LOG'!F$1:F$1048573,'LEAVE LOG'!B$1:B$1048573,A130,'LEAVE LOG'!C$1:C$1048573,"Sick Leave",'LEAVE LOG'!G$1:G$1048573,"Approved")</f>
        <v>0</v>
      </c>
      <c r="C130">
        <f t="shared" si="2"/>
        <v>5</v>
      </c>
      <c r="D130">
        <f>SUMIFS('LEAVE LOG'!F$1:F$1048573,'LEAVE LOG'!B$1:B$1048573,A130,'LEAVE LOG'!C$1:C$1048573,"Annual Leave",'LEAVE LOG'!G$1:G$1048573,"Approved")</f>
        <v>0</v>
      </c>
      <c r="E130">
        <f t="shared" si="3"/>
        <v>10</v>
      </c>
      <c r="F130">
        <f>SUMIFS('LEAVE LOG'!F$1:F$1048573,'LEAVE LOG'!B$1:B$1048573,A130,'LEAVE LOG'!C$1:C$1048573,"Paternity Leave",'LEAVE LOG'!G$1:G$1048573,"Approved")</f>
        <v>0</v>
      </c>
      <c r="G130">
        <f>SUMIFS('LEAVE LOG'!F$1:F$1048573,'LEAVE LOG'!B$1:B$1048573,A130,'LEAVE LOG'!C$1:C$1048573,"Maternity Leave",'LEAVE LOG'!G$1:G$1048573,"Approved")</f>
        <v>0</v>
      </c>
      <c r="H130">
        <f>SUMIFS('LEAVE LOG'!F$1:F$1048573,'LEAVE LOG'!B$1:B$1048573,A130,'LEAVE LOG'!C$1:C$1048573,"Marital Leave",'LEAVE LOG'!G$1:G$1048573,"Approved")</f>
        <v>0</v>
      </c>
      <c r="I130">
        <f>SUMIFS('LEAVE LOG'!F$1:F$1048573,'LEAVE LOG'!B$1:B$1048573,A130,'LEAVE LOG'!C$1:C$1048573,"Compassionate Leave",'LEAVE LOG'!G$1:G$1048573,"Approved")</f>
        <v>0</v>
      </c>
    </row>
    <row r="131" spans="2:9" x14ac:dyDescent="0.25">
      <c r="B131">
        <f>SUMIFS('LEAVE LOG'!F$1:F$1048573,'LEAVE LOG'!B$1:B$1048573,A131,'LEAVE LOG'!C$1:C$1048573,"Sick Leave",'LEAVE LOG'!G$1:G$1048573,"Approved")</f>
        <v>0</v>
      </c>
      <c r="C131">
        <f t="shared" ref="C131:C140" si="4">5-B131</f>
        <v>5</v>
      </c>
      <c r="D131">
        <f>SUMIFS('LEAVE LOG'!F$1:F$1048573,'LEAVE LOG'!B$1:B$1048573,A131,'LEAVE LOG'!C$1:C$1048573,"Annual Leave",'LEAVE LOG'!G$1:G$1048573,"Approved")</f>
        <v>0</v>
      </c>
      <c r="E131">
        <f t="shared" ref="E131:E140" si="5">10-D131</f>
        <v>10</v>
      </c>
      <c r="F131">
        <f>SUMIFS('LEAVE LOG'!F$1:F$1048573,'LEAVE LOG'!B$1:B$1048573,A131,'LEAVE LOG'!C$1:C$1048573,"Paternity Leave",'LEAVE LOG'!G$1:G$1048573,"Approved")</f>
        <v>0</v>
      </c>
      <c r="G131">
        <f>SUMIFS('LEAVE LOG'!F$1:F$1048573,'LEAVE LOG'!B$1:B$1048573,A131,'LEAVE LOG'!C$1:C$1048573,"Maternity Leave",'LEAVE LOG'!G$1:G$1048573,"Approved")</f>
        <v>0</v>
      </c>
      <c r="H131">
        <f>SUMIFS('LEAVE LOG'!F$1:F$1048573,'LEAVE LOG'!B$1:B$1048573,A131,'LEAVE LOG'!C$1:C$1048573,"Marital Leave",'LEAVE LOG'!G$1:G$1048573,"Approved")</f>
        <v>0</v>
      </c>
      <c r="I131">
        <f>SUMIFS('LEAVE LOG'!F$1:F$1048573,'LEAVE LOG'!B$1:B$1048573,A131,'LEAVE LOG'!C$1:C$1048573,"Compassionate Leave",'LEAVE LOG'!G$1:G$1048573,"Approved")</f>
        <v>0</v>
      </c>
    </row>
    <row r="132" spans="2:9" x14ac:dyDescent="0.25">
      <c r="B132">
        <f>SUMIFS('LEAVE LOG'!F$1:F$1048573,'LEAVE LOG'!B$1:B$1048573,A132,'LEAVE LOG'!C$1:C$1048573,"Sick Leave",'LEAVE LOG'!G$1:G$1048573,"Approved")</f>
        <v>0</v>
      </c>
      <c r="C132">
        <f t="shared" si="4"/>
        <v>5</v>
      </c>
      <c r="D132">
        <f>SUMIFS('LEAVE LOG'!F$1:F$1048573,'LEAVE LOG'!B$1:B$1048573,A132,'LEAVE LOG'!C$1:C$1048573,"Annual Leave",'LEAVE LOG'!G$1:G$1048573,"Approved")</f>
        <v>0</v>
      </c>
      <c r="E132">
        <f t="shared" si="5"/>
        <v>10</v>
      </c>
      <c r="F132">
        <f>SUMIFS('LEAVE LOG'!F$1:F$1048573,'LEAVE LOG'!B$1:B$1048573,A132,'LEAVE LOG'!C$1:C$1048573,"Paternity Leave",'LEAVE LOG'!G$1:G$1048573,"Approved")</f>
        <v>0</v>
      </c>
      <c r="G132">
        <f>SUMIFS('LEAVE LOG'!F$1:F$1048573,'LEAVE LOG'!B$1:B$1048573,A132,'LEAVE LOG'!C$1:C$1048573,"Maternity Leave",'LEAVE LOG'!G$1:G$1048573,"Approved")</f>
        <v>0</v>
      </c>
      <c r="H132">
        <f>SUMIFS('LEAVE LOG'!F$1:F$1048573,'LEAVE LOG'!B$1:B$1048573,A132,'LEAVE LOG'!C$1:C$1048573,"Marital Leave",'LEAVE LOG'!G$1:G$1048573,"Approved")</f>
        <v>0</v>
      </c>
      <c r="I132">
        <f>SUMIFS('LEAVE LOG'!F$1:F$1048573,'LEAVE LOG'!B$1:B$1048573,A132,'LEAVE LOG'!C$1:C$1048573,"Compassionate Leave",'LEAVE LOG'!G$1:G$1048573,"Approved")</f>
        <v>0</v>
      </c>
    </row>
    <row r="133" spans="2:9" x14ac:dyDescent="0.25">
      <c r="B133">
        <f>SUMIFS('LEAVE LOG'!F$1:F$1048573,'LEAVE LOG'!B$1:B$1048573,A133,'LEAVE LOG'!C$1:C$1048573,"Sick Leave",'LEAVE LOG'!G$1:G$1048573,"Approved")</f>
        <v>0</v>
      </c>
      <c r="C133">
        <f t="shared" si="4"/>
        <v>5</v>
      </c>
      <c r="D133">
        <f>SUMIFS('LEAVE LOG'!F$1:F$1048573,'LEAVE LOG'!B$1:B$1048573,A133,'LEAVE LOG'!C$1:C$1048573,"Annual Leave",'LEAVE LOG'!G$1:G$1048573,"Approved")</f>
        <v>0</v>
      </c>
      <c r="E133">
        <f t="shared" si="5"/>
        <v>10</v>
      </c>
      <c r="F133">
        <f>SUMIFS('LEAVE LOG'!F$1:F$1048573,'LEAVE LOG'!B$1:B$1048573,A133,'LEAVE LOG'!C$1:C$1048573,"Paternity Leave",'LEAVE LOG'!G$1:G$1048573,"Approved")</f>
        <v>0</v>
      </c>
      <c r="G133">
        <f>SUMIFS('LEAVE LOG'!F$1:F$1048573,'LEAVE LOG'!B$1:B$1048573,A133,'LEAVE LOG'!C$1:C$1048573,"Maternity Leave",'LEAVE LOG'!G$1:G$1048573,"Approved")</f>
        <v>0</v>
      </c>
      <c r="H133">
        <f>SUMIFS('LEAVE LOG'!F$1:F$1048573,'LEAVE LOG'!B$1:B$1048573,A133,'LEAVE LOG'!C$1:C$1048573,"Marital Leave",'LEAVE LOG'!G$1:G$1048573,"Approved")</f>
        <v>0</v>
      </c>
      <c r="I133">
        <f>SUMIFS('LEAVE LOG'!F$1:F$1048573,'LEAVE LOG'!B$1:B$1048573,A133,'LEAVE LOG'!C$1:C$1048573,"Compassionate Leave",'LEAVE LOG'!G$1:G$1048573,"Approved")</f>
        <v>0</v>
      </c>
    </row>
    <row r="134" spans="2:9" x14ac:dyDescent="0.25">
      <c r="B134">
        <f>SUMIFS('LEAVE LOG'!F$1:F$1048573,'LEAVE LOG'!B$1:B$1048573,A134,'LEAVE LOG'!C$1:C$1048573,"Sick Leave",'LEAVE LOG'!G$1:G$1048573,"Approved")</f>
        <v>0</v>
      </c>
      <c r="C134">
        <f t="shared" si="4"/>
        <v>5</v>
      </c>
      <c r="D134">
        <f>SUMIFS('LEAVE LOG'!F$1:F$1048573,'LEAVE LOG'!B$1:B$1048573,A134,'LEAVE LOG'!C$1:C$1048573,"Annual Leave",'LEAVE LOG'!G$1:G$1048573,"Approved")</f>
        <v>0</v>
      </c>
      <c r="E134">
        <f t="shared" si="5"/>
        <v>10</v>
      </c>
      <c r="F134">
        <f>SUMIFS('LEAVE LOG'!F$1:F$1048573,'LEAVE LOG'!B$1:B$1048573,A134,'LEAVE LOG'!C$1:C$1048573,"Paternity Leave",'LEAVE LOG'!G$1:G$1048573,"Approved")</f>
        <v>0</v>
      </c>
      <c r="G134">
        <f>SUMIFS('LEAVE LOG'!F$1:F$1048573,'LEAVE LOG'!B$1:B$1048573,A134,'LEAVE LOG'!C$1:C$1048573,"Maternity Leave",'LEAVE LOG'!G$1:G$1048573,"Approved")</f>
        <v>0</v>
      </c>
      <c r="H134">
        <f>SUMIFS('LEAVE LOG'!F$1:F$1048573,'LEAVE LOG'!B$1:B$1048573,A134,'LEAVE LOG'!C$1:C$1048573,"Marital Leave",'LEAVE LOG'!G$1:G$1048573,"Approved")</f>
        <v>0</v>
      </c>
      <c r="I134">
        <f>SUMIFS('LEAVE LOG'!F$1:F$1048573,'LEAVE LOG'!B$1:B$1048573,A134,'LEAVE LOG'!C$1:C$1048573,"Compassionate Leave",'LEAVE LOG'!G$1:G$1048573,"Approved")</f>
        <v>0</v>
      </c>
    </row>
    <row r="135" spans="2:9" x14ac:dyDescent="0.25">
      <c r="B135">
        <f>SUMIFS('LEAVE LOG'!F$1:F$1048573,'LEAVE LOG'!B$1:B$1048573,A135,'LEAVE LOG'!C$1:C$1048573,"Sick Leave",'LEAVE LOG'!G$1:G$1048573,"Approved")</f>
        <v>0</v>
      </c>
      <c r="C135">
        <f t="shared" si="4"/>
        <v>5</v>
      </c>
      <c r="D135">
        <f>SUMIFS('LEAVE LOG'!F$1:F$1048573,'LEAVE LOG'!B$1:B$1048573,A135,'LEAVE LOG'!C$1:C$1048573,"Annual Leave",'LEAVE LOG'!G$1:G$1048573,"Approved")</f>
        <v>0</v>
      </c>
      <c r="E135">
        <f t="shared" si="5"/>
        <v>10</v>
      </c>
      <c r="F135">
        <f>SUMIFS('LEAVE LOG'!F$1:F$1048573,'LEAVE LOG'!B$1:B$1048573,A135,'LEAVE LOG'!C$1:C$1048573,"Paternity Leave",'LEAVE LOG'!G$1:G$1048573,"Approved")</f>
        <v>0</v>
      </c>
      <c r="G135">
        <f>SUMIFS('LEAVE LOG'!F$1:F$1048573,'LEAVE LOG'!B$1:B$1048573,A135,'LEAVE LOG'!C$1:C$1048573,"Maternity Leave",'LEAVE LOG'!G$1:G$1048573,"Approved")</f>
        <v>0</v>
      </c>
      <c r="H135">
        <f>SUMIFS('LEAVE LOG'!F$1:F$1048573,'LEAVE LOG'!B$1:B$1048573,A135,'LEAVE LOG'!C$1:C$1048573,"Marital Leave",'LEAVE LOG'!G$1:G$1048573,"Approved")</f>
        <v>0</v>
      </c>
      <c r="I135">
        <f>SUMIFS('LEAVE LOG'!F$1:F$1048573,'LEAVE LOG'!B$1:B$1048573,A135,'LEAVE LOG'!C$1:C$1048573,"Compassionate Leave",'LEAVE LOG'!G$1:G$1048573,"Approved")</f>
        <v>0</v>
      </c>
    </row>
    <row r="136" spans="2:9" x14ac:dyDescent="0.25">
      <c r="B136">
        <f>SUMIFS('LEAVE LOG'!F$1:F$1048573,'LEAVE LOG'!B$1:B$1048573,A136,'LEAVE LOG'!C$1:C$1048573,"Sick Leave",'LEAVE LOG'!G$1:G$1048573,"Approved")</f>
        <v>0</v>
      </c>
      <c r="C136">
        <f t="shared" si="4"/>
        <v>5</v>
      </c>
      <c r="D136">
        <f>SUMIFS('LEAVE LOG'!F$1:F$1048573,'LEAVE LOG'!B$1:B$1048573,A136,'LEAVE LOG'!C$1:C$1048573,"Annual Leave",'LEAVE LOG'!G$1:G$1048573,"Approved")</f>
        <v>0</v>
      </c>
      <c r="E136">
        <f t="shared" si="5"/>
        <v>10</v>
      </c>
      <c r="F136">
        <f>SUMIFS('LEAVE LOG'!F$1:F$1048573,'LEAVE LOG'!B$1:B$1048573,A136,'LEAVE LOG'!C$1:C$1048573,"Paternity Leave",'LEAVE LOG'!G$1:G$1048573,"Approved")</f>
        <v>0</v>
      </c>
      <c r="G136">
        <f>SUMIFS('LEAVE LOG'!F$1:F$1048573,'LEAVE LOG'!B$1:B$1048573,A136,'LEAVE LOG'!C$1:C$1048573,"Maternity Leave",'LEAVE LOG'!G$1:G$1048573,"Approved")</f>
        <v>0</v>
      </c>
      <c r="H136">
        <f>SUMIFS('LEAVE LOG'!F$1:F$1048573,'LEAVE LOG'!B$1:B$1048573,A136,'LEAVE LOG'!C$1:C$1048573,"Marital Leave",'LEAVE LOG'!G$1:G$1048573,"Approved")</f>
        <v>0</v>
      </c>
      <c r="I136">
        <f>SUMIFS('LEAVE LOG'!F$1:F$1048573,'LEAVE LOG'!B$1:B$1048573,A136,'LEAVE LOG'!C$1:C$1048573,"Compassionate Leave",'LEAVE LOG'!G$1:G$1048573,"Approved")</f>
        <v>0</v>
      </c>
    </row>
    <row r="137" spans="2:9" x14ac:dyDescent="0.25">
      <c r="B137">
        <f>SUMIFS('LEAVE LOG'!F$1:F$1048573,'LEAVE LOG'!B$1:B$1048573,A137,'LEAVE LOG'!C$1:C$1048573,"Sick Leave",'LEAVE LOG'!G$1:G$1048573,"Approved")</f>
        <v>0</v>
      </c>
      <c r="C137">
        <f t="shared" si="4"/>
        <v>5</v>
      </c>
      <c r="D137">
        <f>SUMIFS('LEAVE LOG'!F$1:F$1048573,'LEAVE LOG'!B$1:B$1048573,A137,'LEAVE LOG'!C$1:C$1048573,"Annual Leave",'LEAVE LOG'!G$1:G$1048573,"Approved")</f>
        <v>0</v>
      </c>
      <c r="E137">
        <f t="shared" si="5"/>
        <v>10</v>
      </c>
      <c r="F137">
        <f>SUMIFS('LEAVE LOG'!F$1:F$1048573,'LEAVE LOG'!B$1:B$1048573,A137,'LEAVE LOG'!C$1:C$1048573,"Paternity Leave",'LEAVE LOG'!G$1:G$1048573,"Approved")</f>
        <v>0</v>
      </c>
      <c r="G137">
        <f>SUMIFS('LEAVE LOG'!F$1:F$1048573,'LEAVE LOG'!B$1:B$1048573,A137,'LEAVE LOG'!C$1:C$1048573,"Maternity Leave",'LEAVE LOG'!G$1:G$1048573,"Approved")</f>
        <v>0</v>
      </c>
      <c r="H137">
        <f>SUMIFS('LEAVE LOG'!F$1:F$1048573,'LEAVE LOG'!B$1:B$1048573,A137,'LEAVE LOG'!C$1:C$1048573,"Marital Leave",'LEAVE LOG'!G$1:G$1048573,"Approved")</f>
        <v>0</v>
      </c>
      <c r="I137">
        <f>SUMIFS('LEAVE LOG'!F$1:F$1048573,'LEAVE LOG'!B$1:B$1048573,A137,'LEAVE LOG'!C$1:C$1048573,"Compassionate Leave",'LEAVE LOG'!G$1:G$1048573,"Approved")</f>
        <v>0</v>
      </c>
    </row>
    <row r="138" spans="2:9" x14ac:dyDescent="0.25">
      <c r="B138">
        <f>SUMIFS('LEAVE LOG'!F$1:F$1048573,'LEAVE LOG'!B$1:B$1048573,A138,'LEAVE LOG'!C$1:C$1048573,"Sick Leave",'LEAVE LOG'!G$1:G$1048573,"Approved")</f>
        <v>0</v>
      </c>
      <c r="C138">
        <f t="shared" si="4"/>
        <v>5</v>
      </c>
      <c r="D138">
        <f>SUMIFS('LEAVE LOG'!F$1:F$1048573,'LEAVE LOG'!B$1:B$1048573,A138,'LEAVE LOG'!C$1:C$1048573,"Annual Leave",'LEAVE LOG'!G$1:G$1048573,"Approved")</f>
        <v>0</v>
      </c>
      <c r="E138">
        <f t="shared" si="5"/>
        <v>10</v>
      </c>
      <c r="F138">
        <f>SUMIFS('LEAVE LOG'!F$1:F$1048573,'LEAVE LOG'!B$1:B$1048573,A138,'LEAVE LOG'!C$1:C$1048573,"Paternity Leave",'LEAVE LOG'!G$1:G$1048573,"Approved")</f>
        <v>0</v>
      </c>
      <c r="G138">
        <f>SUMIFS('LEAVE LOG'!F$1:F$1048573,'LEAVE LOG'!B$1:B$1048573,A138,'LEAVE LOG'!C$1:C$1048573,"Maternity Leave",'LEAVE LOG'!G$1:G$1048573,"Approved")</f>
        <v>0</v>
      </c>
      <c r="H138">
        <f>SUMIFS('LEAVE LOG'!F$1:F$1048573,'LEAVE LOG'!B$1:B$1048573,A138,'LEAVE LOG'!C$1:C$1048573,"Marital Leave",'LEAVE LOG'!G$1:G$1048573,"Approved")</f>
        <v>0</v>
      </c>
      <c r="I138">
        <f>SUMIFS('LEAVE LOG'!F$1:F$1048573,'LEAVE LOG'!B$1:B$1048573,A138,'LEAVE LOG'!C$1:C$1048573,"Compassionate Leave",'LEAVE LOG'!G$1:G$1048573,"Approved")</f>
        <v>0</v>
      </c>
    </row>
    <row r="139" spans="2:9" x14ac:dyDescent="0.25">
      <c r="B139">
        <f>SUMIFS('LEAVE LOG'!F$1:F$1048573,'LEAVE LOG'!B$1:B$1048573,A139,'LEAVE LOG'!C$1:C$1048573,"Sick Leave",'LEAVE LOG'!G$1:G$1048573,"Approved")</f>
        <v>0</v>
      </c>
      <c r="C139">
        <f t="shared" si="4"/>
        <v>5</v>
      </c>
      <c r="D139">
        <f>SUMIFS('LEAVE LOG'!F$1:F$1048573,'LEAVE LOG'!B$1:B$1048573,A139,'LEAVE LOG'!C$1:C$1048573,"Annual Leave",'LEAVE LOG'!G$1:G$1048573,"Approved")</f>
        <v>0</v>
      </c>
      <c r="E139">
        <f t="shared" si="5"/>
        <v>10</v>
      </c>
      <c r="F139">
        <f>SUMIFS('LEAVE LOG'!F$1:F$1048573,'LEAVE LOG'!B$1:B$1048573,A139,'LEAVE LOG'!C$1:C$1048573,"Paternity Leave",'LEAVE LOG'!G$1:G$1048573,"Approved")</f>
        <v>0</v>
      </c>
      <c r="G139">
        <f>SUMIFS('LEAVE LOG'!F$1:F$1048573,'LEAVE LOG'!B$1:B$1048573,A139,'LEAVE LOG'!C$1:C$1048573,"Maternity Leave",'LEAVE LOG'!G$1:G$1048573,"Approved")</f>
        <v>0</v>
      </c>
      <c r="H139">
        <f>SUMIFS('LEAVE LOG'!F$1:F$1048573,'LEAVE LOG'!B$1:B$1048573,A139,'LEAVE LOG'!C$1:C$1048573,"Marital Leave",'LEAVE LOG'!G$1:G$1048573,"Approved")</f>
        <v>0</v>
      </c>
      <c r="I139">
        <f>SUMIFS('LEAVE LOG'!F$1:F$1048573,'LEAVE LOG'!B$1:B$1048573,A139,'LEAVE LOG'!C$1:C$1048573,"Compassionate Leave",'LEAVE LOG'!G$1:G$1048573,"Approved")</f>
        <v>0</v>
      </c>
    </row>
    <row r="140" spans="2:9" x14ac:dyDescent="0.25">
      <c r="B140">
        <f>SUMIFS('LEAVE LOG'!F$1:F$1048573,'LEAVE LOG'!B$1:B$1048573,A140,'LEAVE LOG'!C$1:C$1048573,"Sick Leave",'LEAVE LOG'!G$1:G$1048573,"Approved")</f>
        <v>0</v>
      </c>
      <c r="C140">
        <f t="shared" si="4"/>
        <v>5</v>
      </c>
      <c r="D140">
        <f>SUMIFS('LEAVE LOG'!F$1:F$1048573,'LEAVE LOG'!B$1:B$1048573,A140,'LEAVE LOG'!C$1:C$1048573,"Annual Leave",'LEAVE LOG'!G$1:G$1048573,"Approved")</f>
        <v>0</v>
      </c>
      <c r="E140">
        <f t="shared" si="5"/>
        <v>10</v>
      </c>
      <c r="F140">
        <f>SUMIFS('LEAVE LOG'!F$1:F$1048573,'LEAVE LOG'!B$1:B$1048573,A140,'LEAVE LOG'!C$1:C$1048573,"Paternity Leave",'LEAVE LOG'!G$1:G$1048573,"Approved")</f>
        <v>0</v>
      </c>
      <c r="G140">
        <f>SUMIFS('LEAVE LOG'!F$1:F$1048573,'LEAVE LOG'!B$1:B$1048573,A140,'LEAVE LOG'!C$1:C$1048573,"Maternity Leave",'LEAVE LOG'!G$1:G$1048573,"Approved")</f>
        <v>0</v>
      </c>
      <c r="H140">
        <f>SUMIFS('LEAVE LOG'!F$1:F$1048573,'LEAVE LOG'!B$1:B$1048573,A140,'LEAVE LOG'!C$1:C$1048573,"Marital Leave",'LEAVE LOG'!G$1:G$1048573,"Approved")</f>
        <v>0</v>
      </c>
      <c r="I140">
        <f>SUMIFS('LEAVE LOG'!F$1:F$1048573,'LEAVE LOG'!B$1:B$1048573,A140,'LEAVE LOG'!C$1:C$1048573,"Compassionate Leave",'LEAVE LOG'!G$1:G$1048573,"Approved")</f>
        <v>0</v>
      </c>
    </row>
    <row r="141" spans="2:9" x14ac:dyDescent="0.25">
      <c r="I141">
        <f>SUMIFS('LEAVE LOG'!F$1:F$1048573,'LEAVE LOG'!B$1:B$1048573,A141,'LEAVE LOG'!C$1:C$1048573,"Compassionate Leave",'LEAVE LOG'!G$1:G$1048573,"Approved")</f>
        <v>0</v>
      </c>
    </row>
  </sheetData>
  <conditionalFormatting sqref="C2:C140">
    <cfRule type="cellIs" dxfId="5" priority="4" operator="greaterThan">
      <formula>3</formula>
    </cfRule>
    <cfRule type="cellIs" dxfId="4" priority="5" operator="lessThan">
      <formula>3</formula>
    </cfRule>
    <cfRule type="cellIs" dxfId="3" priority="6" operator="equal">
      <formula>0</formula>
    </cfRule>
  </conditionalFormatting>
  <conditionalFormatting sqref="D2:D140">
    <cfRule type="cellIs" dxfId="2" priority="1" operator="greaterThan">
      <formula>3</formula>
    </cfRule>
    <cfRule type="cellIs" dxfId="1" priority="2" operator="lessThan">
      <formula>3</formula>
    </cfRule>
    <cfRule type="cellIs" dxfId="0" priority="3" operator="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LEAVE LOG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Olurinola</dc:creator>
  <cp:lastModifiedBy>Mary Olurinola</cp:lastModifiedBy>
  <dcterms:created xsi:type="dcterms:W3CDTF">2026-04-16T08:49:23Z</dcterms:created>
  <dcterms:modified xsi:type="dcterms:W3CDTF">2026-04-23T15:51:14Z</dcterms:modified>
</cp:coreProperties>
</file>